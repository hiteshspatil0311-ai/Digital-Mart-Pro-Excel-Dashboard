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yess infotech\excel\"/>
    </mc:Choice>
  </mc:AlternateContent>
  <xr:revisionPtr revIDLastSave="0" documentId="13_ncr:1_{8AEF2D5F-189C-4615-8C46-50ECCFE258B8}" xr6:coauthVersionLast="47" xr6:coauthVersionMax="47" xr10:uidLastSave="{00000000-0000-0000-0000-000000000000}"/>
  <bookViews>
    <workbookView xWindow="-110" yWindow="-110" windowWidth="19420" windowHeight="11020" firstSheet="1" activeTab="5" xr2:uid="{00000000-000D-0000-FFFF-FFFF00000000}"/>
  </bookViews>
  <sheets>
    <sheet name="Order Table" sheetId="2" r:id="rId1"/>
    <sheet name="Product_table" sheetId="3" r:id="rId2"/>
    <sheet name="Customer" sheetId="4" r:id="rId3"/>
    <sheet name="project" sheetId="5" r:id="rId4"/>
    <sheet name="Sheet2" sheetId="6" r:id="rId5"/>
    <sheet name="Dashbord" sheetId="11" r:id="rId6"/>
  </sheets>
  <definedNames>
    <definedName name="_xlchart.v1.0" hidden="1">Sheet2!$E$35:$E$51</definedName>
    <definedName name="_xlchart.v1.1" hidden="1">Sheet2!$F$33:$F$34</definedName>
    <definedName name="_xlchart.v1.2" hidden="1">Sheet2!$F$35:$F$51</definedName>
    <definedName name="NativeTimeline_OrderDate">#N/A</definedName>
    <definedName name="Slicer_Category">#N/A</definedName>
    <definedName name="Slicer_months">#N/A</definedName>
    <definedName name="Slicer_Region">#N/A</definedName>
    <definedName name="SUM_OF_SALSE">Sheet2!$I$20:$J$27</definedName>
    <definedName name="sum_of_the_salse">Sheet2!$I$22</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5" l="1"/>
  <c r="P2" i="5" l="1"/>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M2" i="5"/>
  <c r="L3" i="5"/>
  <c r="L4" i="5"/>
  <c r="M4" i="5" s="1"/>
  <c r="L5" i="5"/>
  <c r="M5" i="5" s="1"/>
  <c r="L6" i="5"/>
  <c r="M6" i="5" s="1"/>
  <c r="L7" i="5"/>
  <c r="M7" i="5" s="1"/>
  <c r="L8" i="5"/>
  <c r="M8" i="5" s="1"/>
  <c r="L9" i="5"/>
  <c r="M9" i="5" s="1"/>
  <c r="L10" i="5"/>
  <c r="M10" i="5" s="1"/>
  <c r="L11" i="5"/>
  <c r="M11" i="5" s="1"/>
  <c r="L12" i="5"/>
  <c r="M12" i="5" s="1"/>
  <c r="L13" i="5"/>
  <c r="M13" i="5" s="1"/>
  <c r="L14" i="5"/>
  <c r="M14" i="5" s="1"/>
  <c r="L15" i="5"/>
  <c r="M15" i="5" s="1"/>
  <c r="L16" i="5"/>
  <c r="M16" i="5" s="1"/>
  <c r="L17" i="5"/>
  <c r="M17" i="5" s="1"/>
  <c r="L18" i="5"/>
  <c r="M18" i="5" s="1"/>
  <c r="L19" i="5"/>
  <c r="M19" i="5" s="1"/>
  <c r="L20" i="5"/>
  <c r="M20" i="5" s="1"/>
  <c r="L21" i="5"/>
  <c r="M21" i="5" s="1"/>
  <c r="L22" i="5"/>
  <c r="M22" i="5" s="1"/>
  <c r="L23" i="5"/>
  <c r="M23"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36" i="5"/>
  <c r="M36" i="5" s="1"/>
  <c r="L37" i="5"/>
  <c r="M37" i="5" s="1"/>
  <c r="L38" i="5"/>
  <c r="M38" i="5" s="1"/>
  <c r="L39" i="5"/>
  <c r="M39" i="5" s="1"/>
  <c r="L40" i="5"/>
  <c r="M40" i="5" s="1"/>
  <c r="L41" i="5"/>
  <c r="M41" i="5" s="1"/>
  <c r="L42" i="5"/>
  <c r="M42" i="5" s="1"/>
  <c r="L43" i="5"/>
  <c r="M43" i="5" s="1"/>
  <c r="L44" i="5"/>
  <c r="M44" i="5" s="1"/>
  <c r="L45" i="5"/>
  <c r="M45" i="5" s="1"/>
  <c r="L46" i="5"/>
  <c r="M46" i="5" s="1"/>
  <c r="L47" i="5"/>
  <c r="M47" i="5" s="1"/>
  <c r="L48" i="5"/>
  <c r="M48" i="5" s="1"/>
  <c r="L49" i="5"/>
  <c r="M49" i="5" s="1"/>
  <c r="L50" i="5"/>
  <c r="M50" i="5" s="1"/>
  <c r="L51" i="5"/>
  <c r="M51" i="5" s="1"/>
  <c r="L52" i="5"/>
  <c r="M52" i="5" s="1"/>
  <c r="L53" i="5"/>
  <c r="M53" i="5" s="1"/>
  <c r="L54" i="5"/>
  <c r="M54" i="5" s="1"/>
  <c r="L55" i="5"/>
  <c r="M55" i="5" s="1"/>
  <c r="L56" i="5"/>
  <c r="M56" i="5" s="1"/>
  <c r="L57" i="5"/>
  <c r="M57" i="5" s="1"/>
  <c r="L58" i="5"/>
  <c r="M58" i="5" s="1"/>
  <c r="L59" i="5"/>
  <c r="M59" i="5" s="1"/>
  <c r="L60" i="5"/>
  <c r="M60" i="5" s="1"/>
  <c r="L61" i="5"/>
  <c r="M61" i="5" s="1"/>
  <c r="L62" i="5"/>
  <c r="M62" i="5" s="1"/>
  <c r="L63" i="5"/>
  <c r="M63" i="5" s="1"/>
  <c r="L64" i="5"/>
  <c r="M64" i="5" s="1"/>
  <c r="L65" i="5"/>
  <c r="M65" i="5" s="1"/>
  <c r="L66" i="5"/>
  <c r="M66" i="5" s="1"/>
  <c r="L67" i="5"/>
  <c r="M67" i="5" s="1"/>
  <c r="L68" i="5"/>
  <c r="M68" i="5" s="1"/>
  <c r="L69" i="5"/>
  <c r="M69" i="5" s="1"/>
  <c r="L70" i="5"/>
  <c r="M70" i="5" s="1"/>
  <c r="L71" i="5"/>
  <c r="M71" i="5" s="1"/>
  <c r="L72" i="5"/>
  <c r="M72" i="5" s="1"/>
  <c r="L73" i="5"/>
  <c r="M73" i="5" s="1"/>
  <c r="L74" i="5"/>
  <c r="M74" i="5" s="1"/>
  <c r="L75" i="5"/>
  <c r="M75" i="5" s="1"/>
  <c r="L76" i="5"/>
  <c r="M76" i="5" s="1"/>
  <c r="L77" i="5"/>
  <c r="M77" i="5" s="1"/>
  <c r="L78" i="5"/>
  <c r="M78" i="5" s="1"/>
  <c r="L79" i="5"/>
  <c r="M79" i="5" s="1"/>
  <c r="L80" i="5"/>
  <c r="M80" i="5" s="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I3" i="5"/>
  <c r="J2"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2" i="5"/>
  <c r="M3" i="5" l="1"/>
  <c r="I22" i="6"/>
  <c r="I30" i="6" s="1"/>
</calcChain>
</file>

<file path=xl/sharedStrings.xml><?xml version="1.0" encoding="utf-8"?>
<sst xmlns="http://schemas.openxmlformats.org/spreadsheetml/2006/main" count="660" uniqueCount="175">
  <si>
    <t>OrderID</t>
  </si>
  <si>
    <t>OrderDate</t>
  </si>
  <si>
    <t>CustomerName</t>
  </si>
  <si>
    <t>Region</t>
  </si>
  <si>
    <t>ProductName</t>
  </si>
  <si>
    <t>Category</t>
  </si>
  <si>
    <t>Price</t>
  </si>
  <si>
    <t>Quantity</t>
  </si>
  <si>
    <t>Rohit Sharma</t>
  </si>
  <si>
    <t>North</t>
  </si>
  <si>
    <t>Amazon Echo Dot</t>
  </si>
  <si>
    <t>Electronics</t>
  </si>
  <si>
    <t>Neha Verma</t>
  </si>
  <si>
    <t>South</t>
  </si>
  <si>
    <t>Fire TV Stick</t>
  </si>
  <si>
    <t>Aman Gupta</t>
  </si>
  <si>
    <t>West</t>
  </si>
  <si>
    <t>Noise Headphones</t>
  </si>
  <si>
    <t>Accessories</t>
  </si>
  <si>
    <t>Pooja Patil</t>
  </si>
  <si>
    <t>East</t>
  </si>
  <si>
    <t>Mobile Back Cover</t>
  </si>
  <si>
    <t>Ali Khan</t>
  </si>
  <si>
    <t>Apple MacBook Air</t>
  </si>
  <si>
    <t>Sonali Desai</t>
  </si>
  <si>
    <t>Boat Speakers</t>
  </si>
  <si>
    <t>Manish Jain</t>
  </si>
  <si>
    <t>Comfort Chair</t>
  </si>
  <si>
    <t>Furniture</t>
  </si>
  <si>
    <t>Asha Singh</t>
  </si>
  <si>
    <t>Laptop Stand</t>
  </si>
  <si>
    <t>Varun Mehta</t>
  </si>
  <si>
    <t>HP Laptop 15</t>
  </si>
  <si>
    <t>Deepa Reddy</t>
  </si>
  <si>
    <t>USB Cable</t>
  </si>
  <si>
    <t>Riya Kapoor</t>
  </si>
  <si>
    <t>Smartwatch Pro</t>
  </si>
  <si>
    <t>Rajat Singh</t>
  </si>
  <si>
    <t>Shruti Nair</t>
  </si>
  <si>
    <t>Aadil Khan</t>
  </si>
  <si>
    <t>Monica Shah</t>
  </si>
  <si>
    <t>Rahul Jain</t>
  </si>
  <si>
    <t>Jyoti Patil</t>
  </si>
  <si>
    <t>Harish Kumar</t>
  </si>
  <si>
    <t>Ananya Rao</t>
  </si>
  <si>
    <t>Sanjay Gupta</t>
  </si>
  <si>
    <t>Kunal Shah</t>
  </si>
  <si>
    <t>Seema Joshi</t>
  </si>
  <si>
    <t>Ashutosh Rana</t>
  </si>
  <si>
    <t>Pankaj Yadav</t>
  </si>
  <si>
    <t>Komal Vora</t>
  </si>
  <si>
    <t>Sameer Seth</t>
  </si>
  <si>
    <t>Rehan Khan</t>
  </si>
  <si>
    <t>Samir Dholakia</t>
  </si>
  <si>
    <t>Divya Singh</t>
  </si>
  <si>
    <t>Meera Kapoor</t>
  </si>
  <si>
    <t>Karan Mulchandani</t>
  </si>
  <si>
    <t>Sonal Nair</t>
  </si>
  <si>
    <t>Yash Sharma</t>
  </si>
  <si>
    <t>Ankita Joshi</t>
  </si>
  <si>
    <t>Jeet Kumar</t>
  </si>
  <si>
    <t>Ritika Bose</t>
  </si>
  <si>
    <t>Vaishali Patel</t>
  </si>
  <si>
    <t>Amit Mehta</t>
  </si>
  <si>
    <t>Tanvi Shah</t>
  </si>
  <si>
    <t>Siddharth Jain</t>
  </si>
  <si>
    <t>CustomerID</t>
  </si>
  <si>
    <t>ProductID</t>
  </si>
  <si>
    <t>C001</t>
  </si>
  <si>
    <t>P001</t>
  </si>
  <si>
    <t>C002</t>
  </si>
  <si>
    <t>P006</t>
  </si>
  <si>
    <t>C003</t>
  </si>
  <si>
    <t>P005</t>
  </si>
  <si>
    <t>C004</t>
  </si>
  <si>
    <t>P009</t>
  </si>
  <si>
    <t>C005</t>
  </si>
  <si>
    <t>P003</t>
  </si>
  <si>
    <t>C006</t>
  </si>
  <si>
    <t>P004</t>
  </si>
  <si>
    <t>C007</t>
  </si>
  <si>
    <t>P011</t>
  </si>
  <si>
    <t>C008</t>
  </si>
  <si>
    <t>P002</t>
  </si>
  <si>
    <t>C009</t>
  </si>
  <si>
    <t>C010</t>
  </si>
  <si>
    <t>P007</t>
  </si>
  <si>
    <t>C011</t>
  </si>
  <si>
    <t>P014</t>
  </si>
  <si>
    <t>C012</t>
  </si>
  <si>
    <t>C013</t>
  </si>
  <si>
    <t>P022</t>
  </si>
  <si>
    <t>C014</t>
  </si>
  <si>
    <t>P015</t>
  </si>
  <si>
    <t>C015</t>
  </si>
  <si>
    <t>C016</t>
  </si>
  <si>
    <t>P008</t>
  </si>
  <si>
    <t>C017</t>
  </si>
  <si>
    <t>P017</t>
  </si>
  <si>
    <t>C018</t>
  </si>
  <si>
    <t>C019</t>
  </si>
  <si>
    <t>C020</t>
  </si>
  <si>
    <t>C021</t>
  </si>
  <si>
    <t>C022</t>
  </si>
  <si>
    <t>C023</t>
  </si>
  <si>
    <t>C024</t>
  </si>
  <si>
    <t>C025</t>
  </si>
  <si>
    <t>P024</t>
  </si>
  <si>
    <t>C026</t>
  </si>
  <si>
    <t>P028</t>
  </si>
  <si>
    <t>C027</t>
  </si>
  <si>
    <t>C028</t>
  </si>
  <si>
    <t>P010</t>
  </si>
  <si>
    <t>C029</t>
  </si>
  <si>
    <t>P019</t>
  </si>
  <si>
    <t>C030</t>
  </si>
  <si>
    <t>P020</t>
  </si>
  <si>
    <t>C031</t>
  </si>
  <si>
    <t>P018</t>
  </si>
  <si>
    <t>C032</t>
  </si>
  <si>
    <t>P012</t>
  </si>
  <si>
    <t>C033</t>
  </si>
  <si>
    <t>C034</t>
  </si>
  <si>
    <t>P025</t>
  </si>
  <si>
    <t>C035</t>
  </si>
  <si>
    <t>C036</t>
  </si>
  <si>
    <t>P021</t>
  </si>
  <si>
    <t>C037</t>
  </si>
  <si>
    <t>P026</t>
  </si>
  <si>
    <t>C038</t>
  </si>
  <si>
    <t>C039</t>
  </si>
  <si>
    <t>C040</t>
  </si>
  <si>
    <t>Wireless Mouse</t>
  </si>
  <si>
    <t>P013</t>
  </si>
  <si>
    <t>Keyboard Combo</t>
  </si>
  <si>
    <t>Office Desk</t>
  </si>
  <si>
    <t>LED Monitor</t>
  </si>
  <si>
    <t>P016</t>
  </si>
  <si>
    <t>Power Bank</t>
  </si>
  <si>
    <t>Tripod Stand</t>
  </si>
  <si>
    <t>Gaming Mouse</t>
  </si>
  <si>
    <t>Webcam HD</t>
  </si>
  <si>
    <t>Printer Ink</t>
  </si>
  <si>
    <t>FMCG</t>
  </si>
  <si>
    <t>Notebook Set</t>
  </si>
  <si>
    <t>Stationery</t>
  </si>
  <si>
    <t>Pen Drive 64GB</t>
  </si>
  <si>
    <t>P023</t>
  </si>
  <si>
    <t>Desktop PC</t>
  </si>
  <si>
    <t>Backpack</t>
  </si>
  <si>
    <t>Extension Board</t>
  </si>
  <si>
    <t>Smart Bulb</t>
  </si>
  <si>
    <t>P027</t>
  </si>
  <si>
    <t>Speaker Mic</t>
  </si>
  <si>
    <t>Portable SSD 1TB</t>
  </si>
  <si>
    <t>P029</t>
  </si>
  <si>
    <t>Coffee Mug</t>
  </si>
  <si>
    <t>Home</t>
  </si>
  <si>
    <t>P030</t>
  </si>
  <si>
    <t>Water Bottle</t>
  </si>
  <si>
    <t>Profit</t>
  </si>
  <si>
    <t>Salse</t>
  </si>
  <si>
    <t>profit Margin</t>
  </si>
  <si>
    <t>year</t>
  </si>
  <si>
    <t>month</t>
  </si>
  <si>
    <t>months</t>
  </si>
  <si>
    <t>Row Labels</t>
  </si>
  <si>
    <t>Grand Total</t>
  </si>
  <si>
    <t>Sum of Salse</t>
  </si>
  <si>
    <t>Jan</t>
  </si>
  <si>
    <t>Feb</t>
  </si>
  <si>
    <t>Mar</t>
  </si>
  <si>
    <t>Sum of Profit</t>
  </si>
  <si>
    <t>sum of the salse</t>
  </si>
  <si>
    <t>Digital Mart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</si>
</sst>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sz val="28"/>
      <color theme="1"/>
      <name val="Calibri"/>
      <family val="2"/>
      <scheme val="minor"/>
    </font>
    <font>
      <b/>
      <i/>
      <sz val="14"/>
      <color theme="1"/>
      <name val="Calibri"/>
      <family val="2"/>
      <scheme val="minor"/>
    </font>
    <font>
      <b/>
      <i/>
      <sz val="20"/>
      <color theme="0"/>
      <name val="Sitka Banner Semibold"/>
    </font>
    <font>
      <sz val="11"/>
      <color theme="2" tint="-0.749992370372631"/>
      <name val="Calibri"/>
      <family val="2"/>
      <scheme val="minor"/>
    </font>
  </fonts>
  <fills count="6">
    <fill>
      <patternFill patternType="none"/>
    </fill>
    <fill>
      <patternFill patternType="gray125"/>
    </fill>
    <fill>
      <patternFill patternType="solid">
        <fgColor theme="6" tint="0.59999389629810485"/>
        <bgColor indexed="65"/>
      </patternFill>
    </fill>
    <fill>
      <patternFill patternType="solid">
        <fgColor rgb="FF02C6FC"/>
        <bgColor indexed="64"/>
      </patternFill>
    </fill>
    <fill>
      <patternFill patternType="solid">
        <fgColor theme="2" tint="-0.749992370372631"/>
        <bgColor indexed="64"/>
      </patternFill>
    </fill>
    <fill>
      <patternFill patternType="solid">
        <fgColor rgb="FF02A7C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4" borderId="0" xfId="0" applyFill="1"/>
    <xf numFmtId="0" fontId="5" fillId="4" borderId="0" xfId="0" applyFont="1" applyFill="1"/>
    <xf numFmtId="0" fontId="2" fillId="0" borderId="1" xfId="0" applyFont="1" applyBorder="1" applyAlignment="1">
      <alignment horizontal="center" vertical="center"/>
    </xf>
    <xf numFmtId="0" fontId="3" fillId="2" borderId="1" xfId="1" applyFont="1" applyBorder="1" applyAlignment="1">
      <alignment horizontal="center" vertical="center"/>
    </xf>
    <xf numFmtId="0" fontId="1" fillId="2" borderId="1" xfId="1" applyBorder="1" applyAlignment="1">
      <alignment horizontal="center" vertical="center"/>
    </xf>
    <xf numFmtId="0" fontId="4" fillId="5" borderId="0" xfId="0" applyFont="1" applyFill="1" applyAlignment="1">
      <alignment horizontal="center" vertical="center"/>
    </xf>
    <xf numFmtId="0" fontId="0" fillId="5" borderId="0" xfId="0" applyFill="1" applyAlignment="1">
      <alignment horizontal="center" vertical="center"/>
    </xf>
  </cellXfs>
  <cellStyles count="2">
    <cellStyle name="40% - Accent3" xfId="1" builtinId="39"/>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19" formatCode="dd/mm/yyyy"/>
    </dxf>
    <dxf>
      <font>
        <b/>
        <color theme="1"/>
      </font>
      <border>
        <bottom style="thin">
          <color theme="4"/>
        </bottom>
        <vertical/>
        <horizontal/>
      </border>
    </dxf>
    <dxf>
      <font>
        <color theme="1"/>
      </font>
      <fill>
        <patternFill>
          <bgColor rgb="FF00B0F0"/>
        </patternFill>
      </fill>
      <border diagonalUp="0" diagonalDown="0">
        <left/>
        <right/>
        <top/>
        <bottom/>
        <vertical/>
        <horizontal/>
      </border>
    </dxf>
    <dxf>
      <font>
        <b val="0"/>
        <i val="0"/>
        <name val="Bahnschrift Light Condensed"/>
        <family val="2"/>
        <scheme val="none"/>
      </font>
      <fill>
        <patternFill patternType="solid">
          <fgColor rgb="FF2EBBD2"/>
          <bgColor rgb="FFB9EDFF"/>
        </patternFill>
      </fill>
      <border diagonalUp="0" diagonalDown="0">
        <left/>
        <right/>
        <top/>
        <bottom/>
        <vertical/>
        <horizontal/>
      </border>
    </dxf>
  </dxfs>
  <tableStyles count="2" defaultTableStyle="TableStyleMedium2" defaultPivotStyle="PivotStyleLight16">
    <tableStyle name="Slicer Style 1" pivot="0" table="0" count="1" xr9:uid="{80604ABA-60DE-40C1-B48C-978054D4E2D0}">
      <tableStyleElement type="wholeTable" dxfId="8"/>
    </tableStyle>
    <tableStyle name="SlicerStyleLight1 2" pivot="0" table="0" count="10" xr9:uid="{502AE60E-29BE-45D3-A429-C2B914283A68}">
      <tableStyleElement type="wholeTable" dxfId="7"/>
      <tableStyleElement type="headerRow" dxfId="6"/>
    </tableStyle>
  </tableStyles>
  <colors>
    <mruColors>
      <color rgb="FF006C92"/>
      <color rgb="FF2EBBD2"/>
      <color rgb="FF02A1C6"/>
      <color rgb="FFB9EDFF"/>
      <color rgb="FF02A7CE"/>
      <color rgb="FF02C6FC"/>
      <color rgb="FFCD3EF4"/>
      <color rgb="FF027F9C"/>
      <color rgb="FF0CCEFC"/>
      <color rgb="FFA4EDF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00B0F0"/>
            </patternFill>
          </fill>
          <border>
            <left style="thin">
              <color rgb="FFCCCCCC"/>
            </left>
            <right style="thin">
              <color rgb="FFCCCCCC"/>
            </right>
            <top style="thin">
              <color rgb="FFCCCCCC"/>
            </top>
            <bottom style="thin">
              <color rgb="FFCCCCCC"/>
            </bottom>
            <vertical/>
            <horizontal/>
          </border>
        </dxf>
        <dxf>
          <font>
            <b val="0"/>
            <i val="0"/>
            <sz val="12"/>
            <color rgb="FF000000"/>
            <name val="Bahnschrift Light"/>
            <family val="2"/>
            <scheme val="none"/>
          </font>
          <fill>
            <patternFill patternType="solid">
              <fgColor theme="4" tint="0.39985351115451523"/>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B0F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Mart ProDashbord project.xlsx]Sheet2!profit by region</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67-4C11-A4E5-1A429FB39C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67-4C11-A4E5-1A429FB39C4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67-4C11-A4E5-1A429FB39C4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67-4C11-A4E5-1A429FB39C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Sheet2!$A$11:$A$15</c:f>
              <c:strCache>
                <c:ptCount val="4"/>
                <c:pt idx="0">
                  <c:v>East</c:v>
                </c:pt>
                <c:pt idx="1">
                  <c:v>North</c:v>
                </c:pt>
                <c:pt idx="2">
                  <c:v>South</c:v>
                </c:pt>
                <c:pt idx="3">
                  <c:v>West</c:v>
                </c:pt>
              </c:strCache>
            </c:strRef>
          </c:cat>
          <c:val>
            <c:numRef>
              <c:f>Sheet2!$B$11:$B$15</c:f>
              <c:numCache>
                <c:formatCode>General</c:formatCode>
                <c:ptCount val="4"/>
                <c:pt idx="0">
                  <c:v>36300</c:v>
                </c:pt>
                <c:pt idx="1">
                  <c:v>100750</c:v>
                </c:pt>
                <c:pt idx="2">
                  <c:v>44350</c:v>
                </c:pt>
                <c:pt idx="3">
                  <c:v>21930</c:v>
                </c:pt>
              </c:numCache>
            </c:numRef>
          </c:val>
          <c:extLst>
            <c:ext xmlns:c16="http://schemas.microsoft.com/office/drawing/2014/chart" uri="{C3380CC4-5D6E-409C-BE32-E72D297353CC}">
              <c16:uniqueId val="{00000008-6167-4C11-A4E5-1A429FB39C4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321007807395028"/>
          <c:y val="0.40276047987055841"/>
          <c:w val="0.11296871012090003"/>
          <c:h val="0.380224136623367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Mart ProDashbord project.xlsx]Sheet2!product name by profit,salse</c:name>
    <c:fmtId val="1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311555293734"/>
          <c:y val="0.20655899294782326"/>
          <c:w val="0.87590807123832637"/>
          <c:h val="0.45566952167699221"/>
        </c:manualLayout>
      </c:layout>
      <c:barChart>
        <c:barDir val="col"/>
        <c:grouping val="clustered"/>
        <c:varyColors val="0"/>
        <c:ser>
          <c:idx val="0"/>
          <c:order val="0"/>
          <c:tx>
            <c:strRef>
              <c:f>Sheet2!$B$19</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Sheet2!$A$20:$A$44</c:f>
              <c:strCache>
                <c:ptCount val="24"/>
                <c:pt idx="0">
                  <c:v>Amazon Echo Dot</c:v>
                </c:pt>
                <c:pt idx="1">
                  <c:v>Apple MacBook Air</c:v>
                </c:pt>
                <c:pt idx="2">
                  <c:v>Backpack</c:v>
                </c:pt>
                <c:pt idx="3">
                  <c:v>Boat Speakers</c:v>
                </c:pt>
                <c:pt idx="4">
                  <c:v>Comfort Chair</c:v>
                </c:pt>
                <c:pt idx="5">
                  <c:v>Extension Board</c:v>
                </c:pt>
                <c:pt idx="6">
                  <c:v>Fire TV Stick</c:v>
                </c:pt>
                <c:pt idx="7">
                  <c:v>Gaming Mouse</c:v>
                </c:pt>
                <c:pt idx="8">
                  <c:v>HP Laptop 15</c:v>
                </c:pt>
                <c:pt idx="9">
                  <c:v>Laptop Stand</c:v>
                </c:pt>
                <c:pt idx="10">
                  <c:v>LED Monitor</c:v>
                </c:pt>
                <c:pt idx="11">
                  <c:v>Mobile Back Cover</c:v>
                </c:pt>
                <c:pt idx="12">
                  <c:v>Noise Headphones</c:v>
                </c:pt>
                <c:pt idx="13">
                  <c:v>Notebook Set</c:v>
                </c:pt>
                <c:pt idx="14">
                  <c:v>Office Desk</c:v>
                </c:pt>
                <c:pt idx="15">
                  <c:v>Pen Drive 64GB</c:v>
                </c:pt>
                <c:pt idx="16">
                  <c:v>Portable SSD 1TB</c:v>
                </c:pt>
                <c:pt idx="17">
                  <c:v>Printer Ink</c:v>
                </c:pt>
                <c:pt idx="18">
                  <c:v>Smart Bulb</c:v>
                </c:pt>
                <c:pt idx="19">
                  <c:v>Smartwatch Pro</c:v>
                </c:pt>
                <c:pt idx="20">
                  <c:v>Tripod Stand</c:v>
                </c:pt>
                <c:pt idx="21">
                  <c:v>USB Cable</c:v>
                </c:pt>
                <c:pt idx="22">
                  <c:v>Webcam HD</c:v>
                </c:pt>
                <c:pt idx="23">
                  <c:v>Wireless Mouse</c:v>
                </c:pt>
              </c:strCache>
            </c:strRef>
          </c:cat>
          <c:val>
            <c:numRef>
              <c:f>Sheet2!$B$20:$B$44</c:f>
              <c:numCache>
                <c:formatCode>General</c:formatCode>
                <c:ptCount val="24"/>
                <c:pt idx="0">
                  <c:v>34100</c:v>
                </c:pt>
                <c:pt idx="1">
                  <c:v>1500</c:v>
                </c:pt>
                <c:pt idx="2">
                  <c:v>16400</c:v>
                </c:pt>
                <c:pt idx="3">
                  <c:v>4380</c:v>
                </c:pt>
                <c:pt idx="4">
                  <c:v>4200</c:v>
                </c:pt>
                <c:pt idx="5">
                  <c:v>1250</c:v>
                </c:pt>
                <c:pt idx="6">
                  <c:v>2900</c:v>
                </c:pt>
                <c:pt idx="7">
                  <c:v>5800</c:v>
                </c:pt>
                <c:pt idx="8">
                  <c:v>4800</c:v>
                </c:pt>
                <c:pt idx="9">
                  <c:v>850</c:v>
                </c:pt>
                <c:pt idx="10">
                  <c:v>1250</c:v>
                </c:pt>
                <c:pt idx="11">
                  <c:v>6000</c:v>
                </c:pt>
                <c:pt idx="12">
                  <c:v>81200</c:v>
                </c:pt>
                <c:pt idx="13">
                  <c:v>850</c:v>
                </c:pt>
                <c:pt idx="14">
                  <c:v>4100</c:v>
                </c:pt>
                <c:pt idx="15">
                  <c:v>2900</c:v>
                </c:pt>
                <c:pt idx="16">
                  <c:v>900</c:v>
                </c:pt>
                <c:pt idx="17">
                  <c:v>900</c:v>
                </c:pt>
                <c:pt idx="18">
                  <c:v>2900</c:v>
                </c:pt>
                <c:pt idx="19">
                  <c:v>5550</c:v>
                </c:pt>
                <c:pt idx="20">
                  <c:v>13500</c:v>
                </c:pt>
                <c:pt idx="21">
                  <c:v>4800</c:v>
                </c:pt>
                <c:pt idx="22">
                  <c:v>800</c:v>
                </c:pt>
                <c:pt idx="23">
                  <c:v>1500</c:v>
                </c:pt>
              </c:numCache>
            </c:numRef>
          </c:val>
          <c:extLst>
            <c:ext xmlns:c16="http://schemas.microsoft.com/office/drawing/2014/chart" uri="{C3380CC4-5D6E-409C-BE32-E72D297353CC}">
              <c16:uniqueId val="{00000000-53D7-444E-B732-BDC3522AA9E6}"/>
            </c:ext>
          </c:extLst>
        </c:ser>
        <c:ser>
          <c:idx val="1"/>
          <c:order val="1"/>
          <c:tx>
            <c:strRef>
              <c:f>Sheet2!$C$19</c:f>
              <c:strCache>
                <c:ptCount val="1"/>
                <c:pt idx="0">
                  <c:v>Sum of Salse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Sheet2!$A$20:$A$44</c:f>
              <c:strCache>
                <c:ptCount val="24"/>
                <c:pt idx="0">
                  <c:v>Amazon Echo Dot</c:v>
                </c:pt>
                <c:pt idx="1">
                  <c:v>Apple MacBook Air</c:v>
                </c:pt>
                <c:pt idx="2">
                  <c:v>Backpack</c:v>
                </c:pt>
                <c:pt idx="3">
                  <c:v>Boat Speakers</c:v>
                </c:pt>
                <c:pt idx="4">
                  <c:v>Comfort Chair</c:v>
                </c:pt>
                <c:pt idx="5">
                  <c:v>Extension Board</c:v>
                </c:pt>
                <c:pt idx="6">
                  <c:v>Fire TV Stick</c:v>
                </c:pt>
                <c:pt idx="7">
                  <c:v>Gaming Mouse</c:v>
                </c:pt>
                <c:pt idx="8">
                  <c:v>HP Laptop 15</c:v>
                </c:pt>
                <c:pt idx="9">
                  <c:v>Laptop Stand</c:v>
                </c:pt>
                <c:pt idx="10">
                  <c:v>LED Monitor</c:v>
                </c:pt>
                <c:pt idx="11">
                  <c:v>Mobile Back Cover</c:v>
                </c:pt>
                <c:pt idx="12">
                  <c:v>Noise Headphones</c:v>
                </c:pt>
                <c:pt idx="13">
                  <c:v>Notebook Set</c:v>
                </c:pt>
                <c:pt idx="14">
                  <c:v>Office Desk</c:v>
                </c:pt>
                <c:pt idx="15">
                  <c:v>Pen Drive 64GB</c:v>
                </c:pt>
                <c:pt idx="16">
                  <c:v>Portable SSD 1TB</c:v>
                </c:pt>
                <c:pt idx="17">
                  <c:v>Printer Ink</c:v>
                </c:pt>
                <c:pt idx="18">
                  <c:v>Smart Bulb</c:v>
                </c:pt>
                <c:pt idx="19">
                  <c:v>Smartwatch Pro</c:v>
                </c:pt>
                <c:pt idx="20">
                  <c:v>Tripod Stand</c:v>
                </c:pt>
                <c:pt idx="21">
                  <c:v>USB Cable</c:v>
                </c:pt>
                <c:pt idx="22">
                  <c:v>Webcam HD</c:v>
                </c:pt>
                <c:pt idx="23">
                  <c:v>Wireless Mouse</c:v>
                </c:pt>
              </c:strCache>
            </c:strRef>
          </c:cat>
          <c:val>
            <c:numRef>
              <c:f>Sheet2!$C$20:$C$44</c:f>
              <c:numCache>
                <c:formatCode>General</c:formatCode>
                <c:ptCount val="24"/>
                <c:pt idx="0">
                  <c:v>36000</c:v>
                </c:pt>
                <c:pt idx="1">
                  <c:v>92000</c:v>
                </c:pt>
                <c:pt idx="2">
                  <c:v>3897</c:v>
                </c:pt>
                <c:pt idx="3">
                  <c:v>28000</c:v>
                </c:pt>
                <c:pt idx="4">
                  <c:v>27500</c:v>
                </c:pt>
                <c:pt idx="5">
                  <c:v>3495</c:v>
                </c:pt>
                <c:pt idx="6">
                  <c:v>14995</c:v>
                </c:pt>
                <c:pt idx="7">
                  <c:v>9995</c:v>
                </c:pt>
                <c:pt idx="8">
                  <c:v>348000</c:v>
                </c:pt>
                <c:pt idx="9">
                  <c:v>4495</c:v>
                </c:pt>
                <c:pt idx="10">
                  <c:v>25000</c:v>
                </c:pt>
                <c:pt idx="11">
                  <c:v>3887</c:v>
                </c:pt>
                <c:pt idx="12">
                  <c:v>47976</c:v>
                </c:pt>
                <c:pt idx="13">
                  <c:v>598</c:v>
                </c:pt>
                <c:pt idx="14">
                  <c:v>25500</c:v>
                </c:pt>
                <c:pt idx="15">
                  <c:v>2397</c:v>
                </c:pt>
                <c:pt idx="16">
                  <c:v>9500</c:v>
                </c:pt>
                <c:pt idx="17">
                  <c:v>1800</c:v>
                </c:pt>
                <c:pt idx="18">
                  <c:v>1798</c:v>
                </c:pt>
                <c:pt idx="19">
                  <c:v>31500</c:v>
                </c:pt>
                <c:pt idx="20">
                  <c:v>2994</c:v>
                </c:pt>
                <c:pt idx="21">
                  <c:v>1992</c:v>
                </c:pt>
                <c:pt idx="22">
                  <c:v>2500</c:v>
                </c:pt>
                <c:pt idx="23">
                  <c:v>6392</c:v>
                </c:pt>
              </c:numCache>
            </c:numRef>
          </c:val>
          <c:extLst>
            <c:ext xmlns:c16="http://schemas.microsoft.com/office/drawing/2014/chart" uri="{C3380CC4-5D6E-409C-BE32-E72D297353CC}">
              <c16:uniqueId val="{00000001-53D7-444E-B732-BDC3522AA9E6}"/>
            </c:ext>
          </c:extLst>
        </c:ser>
        <c:dLbls>
          <c:showLegendKey val="0"/>
          <c:showVal val="0"/>
          <c:showCatName val="0"/>
          <c:showSerName val="0"/>
          <c:showPercent val="0"/>
          <c:showBubbleSize val="0"/>
        </c:dLbls>
        <c:gapWidth val="100"/>
        <c:overlap val="-24"/>
        <c:axId val="607089208"/>
        <c:axId val="607087048"/>
      </c:barChart>
      <c:catAx>
        <c:axId val="607089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lumMod val="50000"/>
                  </a:schemeClr>
                </a:solidFill>
                <a:latin typeface="+mn-lt"/>
                <a:ea typeface="+mn-ea"/>
                <a:cs typeface="+mn-cs"/>
              </a:defRPr>
            </a:pPr>
            <a:endParaRPr lang="en-US"/>
          </a:p>
        </c:txPr>
        <c:crossAx val="607087048"/>
        <c:crosses val="autoZero"/>
        <c:auto val="1"/>
        <c:lblAlgn val="ctr"/>
        <c:lblOffset val="100"/>
        <c:noMultiLvlLbl val="0"/>
      </c:catAx>
      <c:valAx>
        <c:axId val="607087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lumMod val="50000"/>
                  </a:schemeClr>
                </a:solidFill>
                <a:latin typeface="+mn-lt"/>
                <a:ea typeface="+mn-ea"/>
                <a:cs typeface="+mn-cs"/>
              </a:defRPr>
            </a:pPr>
            <a:endParaRPr lang="en-US"/>
          </a:p>
        </c:txPr>
        <c:crossAx val="607089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a:noFill/>
          </a:ln>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Mart ProDashbord project.xlsx]Sheet2!profit by months</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Sheet2!$J$10</c:f>
              <c:strCache>
                <c:ptCount val="1"/>
                <c:pt idx="0">
                  <c:v>Total</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Sheet2!$I$11:$I$14</c:f>
              <c:strCache>
                <c:ptCount val="3"/>
                <c:pt idx="0">
                  <c:v>Jan</c:v>
                </c:pt>
                <c:pt idx="1">
                  <c:v>Feb</c:v>
                </c:pt>
                <c:pt idx="2">
                  <c:v>Mar</c:v>
                </c:pt>
              </c:strCache>
            </c:strRef>
          </c:cat>
          <c:val>
            <c:numRef>
              <c:f>Sheet2!$J$11:$J$14</c:f>
              <c:numCache>
                <c:formatCode>General</c:formatCode>
                <c:ptCount val="3"/>
                <c:pt idx="0">
                  <c:v>104230</c:v>
                </c:pt>
                <c:pt idx="1">
                  <c:v>73750</c:v>
                </c:pt>
                <c:pt idx="2">
                  <c:v>25350</c:v>
                </c:pt>
              </c:numCache>
            </c:numRef>
          </c:val>
          <c:smooth val="1"/>
          <c:extLst>
            <c:ext xmlns:c16="http://schemas.microsoft.com/office/drawing/2014/chart" uri="{C3380CC4-5D6E-409C-BE32-E72D297353CC}">
              <c16:uniqueId val="{00000000-3EF1-434B-8AD7-54BE5A227D5B}"/>
            </c:ext>
          </c:extLst>
        </c:ser>
        <c:dLbls>
          <c:dLblPos val="t"/>
          <c:showLegendKey val="0"/>
          <c:showVal val="1"/>
          <c:showCatName val="0"/>
          <c:showSerName val="0"/>
          <c:showPercent val="0"/>
          <c:showBubbleSize val="0"/>
        </c:dLbls>
        <c:smooth val="0"/>
        <c:axId val="608456200"/>
        <c:axId val="608458360"/>
      </c:lineChart>
      <c:catAx>
        <c:axId val="60845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58360"/>
        <c:crosses val="autoZero"/>
        <c:auto val="1"/>
        <c:lblAlgn val="ctr"/>
        <c:lblOffset val="100"/>
        <c:noMultiLvlLbl val="0"/>
      </c:catAx>
      <c:valAx>
        <c:axId val="608458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5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9C601D66-6900-45AB-BA40-440468B4AEA9}">
          <cx:tx>
            <cx:txData>
              <cx:f>_xlchart.v1.1</cx:f>
              <cx:v>Sum of Profit</cx:v>
            </cx:txData>
          </cx:tx>
          <cx:dataLabels pos="ct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14</xdr:col>
      <xdr:colOff>154860</xdr:colOff>
      <xdr:row>13</xdr:row>
      <xdr:rowOff>72278</xdr:rowOff>
    </xdr:from>
    <xdr:to>
      <xdr:col>24</xdr:col>
      <xdr:colOff>221619</xdr:colOff>
      <xdr:row>21</xdr:row>
      <xdr:rowOff>53069</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68B37110-6836-B8A8-241C-25C63EA9F46E}"/>
                </a:ext>
              </a:extLst>
            </xdr:cNvPr>
            <xdr:cNvGraphicFramePr>
              <a:graphicFrameLocks/>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3608000" y="2375999"/>
              <a:ext cx="6121410" cy="13984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519791</xdr:colOff>
      <xdr:row>5</xdr:row>
      <xdr:rowOff>3628</xdr:rowOff>
    </xdr:from>
    <xdr:to>
      <xdr:col>9</xdr:col>
      <xdr:colOff>399143</xdr:colOff>
      <xdr:row>18</xdr:row>
      <xdr:rowOff>81643</xdr:rowOff>
    </xdr:to>
    <xdr:sp macro="" textlink="">
      <xdr:nvSpPr>
        <xdr:cNvPr id="2" name="Rectangle: Rounded Corners 1">
          <a:extLst>
            <a:ext uri="{FF2B5EF4-FFF2-40B4-BE49-F238E27FC236}">
              <a16:creationId xmlns:a16="http://schemas.microsoft.com/office/drawing/2014/main" id="{9565B384-9441-C059-AF45-6CC7B2FB8B45}"/>
            </a:ext>
          </a:extLst>
        </xdr:cNvPr>
        <xdr:cNvSpPr/>
      </xdr:nvSpPr>
      <xdr:spPr>
        <a:xfrm>
          <a:off x="519791" y="910771"/>
          <a:ext cx="4133852" cy="2436586"/>
        </a:xfrm>
        <a:prstGeom prst="roundRect">
          <a:avLst>
            <a:gd name="adj" fmla="val 7668"/>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xdr:colOff>
      <xdr:row>25</xdr:row>
      <xdr:rowOff>62950</xdr:rowOff>
    </xdr:from>
    <xdr:to>
      <xdr:col>24</xdr:col>
      <xdr:colOff>598716</xdr:colOff>
      <xdr:row>34</xdr:row>
      <xdr:rowOff>105409</xdr:rowOff>
    </xdr:to>
    <xdr:sp macro="" textlink="">
      <xdr:nvSpPr>
        <xdr:cNvPr id="4" name="Rectangle: Diagonal Corners Rounded 3">
          <a:extLst>
            <a:ext uri="{FF2B5EF4-FFF2-40B4-BE49-F238E27FC236}">
              <a16:creationId xmlns:a16="http://schemas.microsoft.com/office/drawing/2014/main" id="{61013BD4-B07D-1881-0974-B9A76A784EF5}"/>
            </a:ext>
          </a:extLst>
        </xdr:cNvPr>
        <xdr:cNvSpPr/>
      </xdr:nvSpPr>
      <xdr:spPr>
        <a:xfrm>
          <a:off x="1212275" y="4671511"/>
          <a:ext cx="13933714" cy="1687686"/>
        </a:xfrm>
        <a:prstGeom prst="round2DiagRect">
          <a:avLst>
            <a:gd name="adj1" fmla="val 14387"/>
            <a:gd name="adj2" fmla="val 0"/>
          </a:avLst>
        </a:prstGeom>
        <a:solidFill>
          <a:srgbClr val="02C6FC"/>
        </a:solidFill>
        <a:ln>
          <a:solidFill>
            <a:srgbClr val="02C6F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108857</xdr:colOff>
      <xdr:row>4</xdr:row>
      <xdr:rowOff>136072</xdr:rowOff>
    </xdr:from>
    <xdr:to>
      <xdr:col>24</xdr:col>
      <xdr:colOff>317500</xdr:colOff>
      <xdr:row>18</xdr:row>
      <xdr:rowOff>112262</xdr:rowOff>
    </xdr:to>
    <xdr:sp macro="" textlink="">
      <xdr:nvSpPr>
        <xdr:cNvPr id="3" name="Rectangle: Rounded Corners 2">
          <a:extLst>
            <a:ext uri="{FF2B5EF4-FFF2-40B4-BE49-F238E27FC236}">
              <a16:creationId xmlns:a16="http://schemas.microsoft.com/office/drawing/2014/main" id="{F3933A29-22D3-44C5-8BF6-60FE8CD75E61}"/>
            </a:ext>
          </a:extLst>
        </xdr:cNvPr>
        <xdr:cNvSpPr/>
      </xdr:nvSpPr>
      <xdr:spPr>
        <a:xfrm>
          <a:off x="8010071" y="861786"/>
          <a:ext cx="5678715" cy="2516190"/>
        </a:xfrm>
        <a:prstGeom prst="roundRect">
          <a:avLst>
            <a:gd name="adj" fmla="val 7668"/>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507999</xdr:colOff>
      <xdr:row>19</xdr:row>
      <xdr:rowOff>63500</xdr:rowOff>
    </xdr:from>
    <xdr:to>
      <xdr:col>9</xdr:col>
      <xdr:colOff>426356</xdr:colOff>
      <xdr:row>33</xdr:row>
      <xdr:rowOff>36285</xdr:rowOff>
    </xdr:to>
    <xdr:sp macro="" textlink="">
      <xdr:nvSpPr>
        <xdr:cNvPr id="5" name="Rectangle: Rounded Corners 4">
          <a:extLst>
            <a:ext uri="{FF2B5EF4-FFF2-40B4-BE49-F238E27FC236}">
              <a16:creationId xmlns:a16="http://schemas.microsoft.com/office/drawing/2014/main" id="{248317FA-F135-42AB-99CE-10336C14A15B}"/>
            </a:ext>
          </a:extLst>
        </xdr:cNvPr>
        <xdr:cNvSpPr/>
      </xdr:nvSpPr>
      <xdr:spPr>
        <a:xfrm>
          <a:off x="507999" y="3510643"/>
          <a:ext cx="4172857" cy="2512785"/>
        </a:xfrm>
        <a:prstGeom prst="roundRect">
          <a:avLst>
            <a:gd name="adj" fmla="val 7668"/>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90819</xdr:colOff>
      <xdr:row>19</xdr:row>
      <xdr:rowOff>110506</xdr:rowOff>
    </xdr:from>
    <xdr:to>
      <xdr:col>24</xdr:col>
      <xdr:colOff>323273</xdr:colOff>
      <xdr:row>33</xdr:row>
      <xdr:rowOff>28864</xdr:rowOff>
    </xdr:to>
    <xdr:sp macro="" textlink="">
      <xdr:nvSpPr>
        <xdr:cNvPr id="6" name="Rectangle: Rounded Corners 5">
          <a:extLst>
            <a:ext uri="{FF2B5EF4-FFF2-40B4-BE49-F238E27FC236}">
              <a16:creationId xmlns:a16="http://schemas.microsoft.com/office/drawing/2014/main" id="{C608791E-C38E-4816-B250-1B4AA7220EC7}"/>
            </a:ext>
          </a:extLst>
        </xdr:cNvPr>
        <xdr:cNvSpPr/>
      </xdr:nvSpPr>
      <xdr:spPr>
        <a:xfrm>
          <a:off x="9182864" y="3622248"/>
          <a:ext cx="5687682" cy="2477601"/>
        </a:xfrm>
        <a:prstGeom prst="roundRect">
          <a:avLst>
            <a:gd name="adj" fmla="val 4173"/>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222938</xdr:colOff>
      <xdr:row>4</xdr:row>
      <xdr:rowOff>169412</xdr:rowOff>
    </xdr:from>
    <xdr:to>
      <xdr:col>13</xdr:col>
      <xdr:colOff>379418</xdr:colOff>
      <xdr:row>17</xdr:row>
      <xdr:rowOff>172357</xdr:rowOff>
    </xdr:to>
    <xdr:sp macro="" textlink="">
      <xdr:nvSpPr>
        <xdr:cNvPr id="7" name="Rectangle: Rounded Corners 6">
          <a:extLst>
            <a:ext uri="{FF2B5EF4-FFF2-40B4-BE49-F238E27FC236}">
              <a16:creationId xmlns:a16="http://schemas.microsoft.com/office/drawing/2014/main" id="{09B3FF9C-E0AD-4260-8027-A57AE4FC6436}"/>
            </a:ext>
          </a:extLst>
        </xdr:cNvPr>
        <xdr:cNvSpPr/>
      </xdr:nvSpPr>
      <xdr:spPr>
        <a:xfrm>
          <a:off x="6890438" y="900624"/>
          <a:ext cx="1368753" cy="2379385"/>
        </a:xfrm>
        <a:prstGeom prst="roundRect">
          <a:avLst>
            <a:gd name="adj" fmla="val 7668"/>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221839</xdr:colOff>
      <xdr:row>19</xdr:row>
      <xdr:rowOff>73121</xdr:rowOff>
    </xdr:from>
    <xdr:to>
      <xdr:col>13</xdr:col>
      <xdr:colOff>348839</xdr:colOff>
      <xdr:row>32</xdr:row>
      <xdr:rowOff>181521</xdr:rowOff>
    </xdr:to>
    <xdr:sp macro="" textlink="">
      <xdr:nvSpPr>
        <xdr:cNvPr id="8" name="Rectangle: Rounded Corners 7">
          <a:extLst>
            <a:ext uri="{FF2B5EF4-FFF2-40B4-BE49-F238E27FC236}">
              <a16:creationId xmlns:a16="http://schemas.microsoft.com/office/drawing/2014/main" id="{F7A57430-CA82-4BFC-B2FD-A7A7B716BF4E}"/>
            </a:ext>
          </a:extLst>
        </xdr:cNvPr>
        <xdr:cNvSpPr/>
      </xdr:nvSpPr>
      <xdr:spPr>
        <a:xfrm>
          <a:off x="6283203" y="3546379"/>
          <a:ext cx="1339272" cy="2484839"/>
        </a:xfrm>
        <a:prstGeom prst="roundRect">
          <a:avLst>
            <a:gd name="adj" fmla="val 7668"/>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432953</xdr:colOff>
      <xdr:row>0</xdr:row>
      <xdr:rowOff>105834</xdr:rowOff>
    </xdr:from>
    <xdr:to>
      <xdr:col>24</xdr:col>
      <xdr:colOff>326296</xdr:colOff>
      <xdr:row>4</xdr:row>
      <xdr:rowOff>39310</xdr:rowOff>
    </xdr:to>
    <xdr:sp macro="" textlink="">
      <xdr:nvSpPr>
        <xdr:cNvPr id="9" name="Rectangle: Rounded Corners 8">
          <a:extLst>
            <a:ext uri="{FF2B5EF4-FFF2-40B4-BE49-F238E27FC236}">
              <a16:creationId xmlns:a16="http://schemas.microsoft.com/office/drawing/2014/main" id="{351D0C4B-DD46-4503-92DD-929B06272C13}"/>
            </a:ext>
          </a:extLst>
        </xdr:cNvPr>
        <xdr:cNvSpPr/>
      </xdr:nvSpPr>
      <xdr:spPr>
        <a:xfrm>
          <a:off x="5282044" y="105834"/>
          <a:ext cx="9591525" cy="703173"/>
        </a:xfrm>
        <a:prstGeom prst="roundRect">
          <a:avLst>
            <a:gd name="adj" fmla="val 7668"/>
          </a:avLst>
        </a:prstGeom>
        <a:solidFill>
          <a:srgbClr val="02A1C6">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48108</xdr:colOff>
      <xdr:row>1</xdr:row>
      <xdr:rowOff>43710</xdr:rowOff>
    </xdr:from>
    <xdr:to>
      <xdr:col>3</xdr:col>
      <xdr:colOff>588108</xdr:colOff>
      <xdr:row>4</xdr:row>
      <xdr:rowOff>682</xdr:rowOff>
    </xdr:to>
    <xdr:pic>
      <xdr:nvPicPr>
        <xdr:cNvPr id="11" name="Graphic 10" descr="House">
          <a:extLst>
            <a:ext uri="{FF2B5EF4-FFF2-40B4-BE49-F238E27FC236}">
              <a16:creationId xmlns:a16="http://schemas.microsoft.com/office/drawing/2014/main" id="{C489F643-005B-E1AB-1925-42D1BAC56A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0381" y="226513"/>
          <a:ext cx="540000" cy="543866"/>
        </a:xfrm>
        <a:prstGeom prst="rect">
          <a:avLst/>
        </a:prstGeom>
      </xdr:spPr>
    </xdr:pic>
    <xdr:clientData/>
  </xdr:twoCellAnchor>
  <xdr:twoCellAnchor>
    <xdr:from>
      <xdr:col>2</xdr:col>
      <xdr:colOff>346364</xdr:colOff>
      <xdr:row>5</xdr:row>
      <xdr:rowOff>112210</xdr:rowOff>
    </xdr:from>
    <xdr:to>
      <xdr:col>9</xdr:col>
      <xdr:colOff>299687</xdr:colOff>
      <xdr:row>17</xdr:row>
      <xdr:rowOff>173181</xdr:rowOff>
    </xdr:to>
    <xdr:graphicFrame macro="">
      <xdr:nvGraphicFramePr>
        <xdr:cNvPr id="12" name="Chart 11">
          <a:extLst>
            <a:ext uri="{FF2B5EF4-FFF2-40B4-BE49-F238E27FC236}">
              <a16:creationId xmlns:a16="http://schemas.microsoft.com/office/drawing/2014/main" id="{2F28CDD6-A72B-4F38-B54D-9DD05CD11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192423</xdr:colOff>
      <xdr:row>5</xdr:row>
      <xdr:rowOff>72847</xdr:rowOff>
    </xdr:from>
    <xdr:to>
      <xdr:col>24</xdr:col>
      <xdr:colOff>182803</xdr:colOff>
      <xdr:row>18</xdr:row>
      <xdr:rowOff>86591</xdr:rowOff>
    </xdr:to>
    <xdr:graphicFrame macro="">
      <xdr:nvGraphicFramePr>
        <xdr:cNvPr id="13" name="Chart 12">
          <a:extLst>
            <a:ext uri="{FF2B5EF4-FFF2-40B4-BE49-F238E27FC236}">
              <a16:creationId xmlns:a16="http://schemas.microsoft.com/office/drawing/2014/main" id="{335FCF0C-1BE4-44F4-A127-9112AFAE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96213</xdr:colOff>
      <xdr:row>19</xdr:row>
      <xdr:rowOff>120128</xdr:rowOff>
    </xdr:from>
    <xdr:to>
      <xdr:col>24</xdr:col>
      <xdr:colOff>317499</xdr:colOff>
      <xdr:row>33</xdr:row>
      <xdr:rowOff>9622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E8CC38F3-50F6-40CE-9ED5-F8805BD7F8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240213" y="3657078"/>
              <a:ext cx="5707686" cy="2467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519546</xdr:colOff>
      <xdr:row>19</xdr:row>
      <xdr:rowOff>76969</xdr:rowOff>
    </xdr:from>
    <xdr:to>
      <xdr:col>9</xdr:col>
      <xdr:colOff>365605</xdr:colOff>
      <xdr:row>32</xdr:row>
      <xdr:rowOff>173182</xdr:rowOff>
    </xdr:to>
    <xdr:graphicFrame macro="">
      <xdr:nvGraphicFramePr>
        <xdr:cNvPr id="15" name="Chart 14">
          <a:extLst>
            <a:ext uri="{FF2B5EF4-FFF2-40B4-BE49-F238E27FC236}">
              <a16:creationId xmlns:a16="http://schemas.microsoft.com/office/drawing/2014/main" id="{ECA0C563-CC73-4E64-B898-D45B26CAB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230909</xdr:colOff>
      <xdr:row>19</xdr:row>
      <xdr:rowOff>163559</xdr:rowOff>
    </xdr:from>
    <xdr:to>
      <xdr:col>13</xdr:col>
      <xdr:colOff>370650</xdr:colOff>
      <xdr:row>33</xdr:row>
      <xdr:rowOff>48105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C2D33E8-8C35-443D-BC98-9AE99440E8B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98409" y="3675301"/>
              <a:ext cx="1352014" cy="2443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519547</xdr:colOff>
      <xdr:row>0</xdr:row>
      <xdr:rowOff>163561</xdr:rowOff>
    </xdr:from>
    <xdr:to>
      <xdr:col>24</xdr:col>
      <xdr:colOff>287116</xdr:colOff>
      <xdr:row>3</xdr:row>
      <xdr:rowOff>173181</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61CA3D89-A917-4B87-818C-C4A5484F77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68638" y="163561"/>
              <a:ext cx="9465751" cy="596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280665</xdr:colOff>
      <xdr:row>5</xdr:row>
      <xdr:rowOff>92442</xdr:rowOff>
    </xdr:from>
    <xdr:to>
      <xdr:col>13</xdr:col>
      <xdr:colOff>319842</xdr:colOff>
      <xdr:row>17</xdr:row>
      <xdr:rowOff>144319</xdr:rowOff>
    </xdr:to>
    <mc:AlternateContent xmlns:mc="http://schemas.openxmlformats.org/markup-compatibility/2006" xmlns:a14="http://schemas.microsoft.com/office/drawing/2010/main">
      <mc:Choice Requires="a14">
        <xdr:graphicFrame macro="">
          <xdr:nvGraphicFramePr>
            <xdr:cNvPr id="16" name="months">
              <a:extLst>
                <a:ext uri="{FF2B5EF4-FFF2-40B4-BE49-F238E27FC236}">
                  <a16:creationId xmlns:a16="http://schemas.microsoft.com/office/drawing/2014/main" id="{99FC8898-BE1F-4C86-9842-14DBC7ADFF0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6948165" y="1044942"/>
              <a:ext cx="1251450" cy="2245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5.620394212965" createdVersion="8" refreshedVersion="8" minRefreshableVersion="3" recordCount="79" xr:uid="{DE278E6E-561E-4A72-9233-C2B8C6D1750F}">
  <cacheSource type="worksheet">
    <worksheetSource name="Table2"/>
  </cacheSource>
  <cacheFields count="16">
    <cacheField name="OrderID" numFmtId="0">
      <sharedItems containsSemiMixedTypes="0" containsString="0" containsNumber="1" containsInteger="1" minValue="1001" maxValue="1079"/>
    </cacheField>
    <cacheField name="CustomerID" numFmtId="0">
      <sharedItems/>
    </cacheField>
    <cacheField name="ProductID" numFmtId="0">
      <sharedItems/>
    </cacheField>
    <cacheField name="Quantity" numFmtId="0">
      <sharedItems containsSemiMixedTypes="0" containsString="0" containsNumber="1" containsInteger="1" minValue="1" maxValue="5"/>
    </cacheField>
    <cacheField name="OrderDate" numFmtId="14">
      <sharedItems containsSemiMixedTypes="0" containsNonDate="0" containsDate="1" containsString="0" minDate="2024-01-02T00:00:00" maxDate="2024-03-09T00:00:00" count="67">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sharedItems>
    </cacheField>
    <cacheField name="Profit" numFmtId="0">
      <sharedItems containsSemiMixedTypes="0" containsString="0" containsNumber="1" containsInteger="1" minValue="200" maxValue="18000"/>
    </cacheField>
    <cacheField name="CustomerName" numFmtId="0">
      <sharedItems/>
    </cacheField>
    <cacheField name="Region" numFmtId="0">
      <sharedItems count="4">
        <s v="North"/>
        <s v="South"/>
        <s v="West"/>
        <s v="East"/>
      </sharedItems>
    </cacheField>
    <cacheField name="ProductName" numFmtId="0">
      <sharedItems count="24">
        <s v="Amazon Echo Dot"/>
        <s v="Boat Speakers"/>
        <s v="Apple MacBook Air"/>
        <s v="HP Laptop 15"/>
        <s v="Noise Headphones"/>
        <s v="Mobile Back Cover"/>
        <s v="Smartwatch Pro"/>
        <s v="Fire TV Stick"/>
        <s v="Comfort Chair"/>
        <s v="Office Desk"/>
        <s v="Pen Drive 64GB"/>
        <s v="LED Monitor"/>
        <s v="Laptop Stand"/>
        <s v="Tripod Stand"/>
        <s v="Backpack"/>
        <s v="Portable SSD 1TB"/>
        <s v="USB Cable"/>
        <s v="Webcam HD"/>
        <s v="Printer Ink"/>
        <s v="Gaming Mouse"/>
        <s v="Wireless Mouse"/>
        <s v="Extension Board"/>
        <s v="Notebook Set"/>
        <s v="Smart Bulb"/>
      </sharedItems>
    </cacheField>
    <cacheField name="Category" numFmtId="0">
      <sharedItems count="5">
        <s v="Electronics"/>
        <s v="Accessories"/>
        <s v="Furniture"/>
        <s v="FMCG"/>
        <s v="Stationery"/>
      </sharedItems>
    </cacheField>
    <cacheField name="Price" numFmtId="0">
      <sharedItems containsSemiMixedTypes="0" containsString="0" containsNumber="1" containsInteger="1" minValue="249" maxValue="92000"/>
    </cacheField>
    <cacheField name="Salse" numFmtId="0">
      <sharedItems containsSemiMixedTypes="0" containsString="0" containsNumber="1" containsInteger="1" minValue="598" maxValue="116000"/>
    </cacheField>
    <cacheField name="profit Margin" numFmtId="0">
      <sharedItems containsSemiMixedTypes="0" containsString="0" containsNumber="1" minValue="5.1724137931034482E-3" maxValue="11.547344110854503"/>
    </cacheField>
    <cacheField name="year" numFmtId="0">
      <sharedItems containsSemiMixedTypes="0" containsString="0" containsNumber="1" containsInteger="1" minValue="2024" maxValue="2024"/>
    </cacheField>
    <cacheField name="month" numFmtId="0">
      <sharedItems containsSemiMixedTypes="0" containsString="0" containsNumber="1" containsInteger="1" minValue="1" maxValue="3"/>
    </cacheField>
    <cacheField name="months" numFmtId="0">
      <sharedItems count="3">
        <s v="Jan"/>
        <s v="Feb"/>
        <s v="Mar"/>
      </sharedItems>
    </cacheField>
  </cacheFields>
  <extLst>
    <ext xmlns:x14="http://schemas.microsoft.com/office/spreadsheetml/2009/9/main" uri="{725AE2AE-9491-48be-B2B4-4EB974FC3084}">
      <x14:pivotCacheDefinition pivotCacheId="1600525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n v="1001"/>
    <s v="C001"/>
    <s v="P001"/>
    <n v="2"/>
    <x v="0"/>
    <n v="1800"/>
    <s v="Rohit Sharma"/>
    <x v="0"/>
    <x v="0"/>
    <x v="0"/>
    <n v="4500"/>
    <n v="9000"/>
    <n v="0.2"/>
    <n v="2024"/>
    <n v="1"/>
    <x v="0"/>
  </r>
  <r>
    <n v="1002"/>
    <s v="C002"/>
    <s v="P006"/>
    <n v="1"/>
    <x v="1"/>
    <n v="700"/>
    <s v="Neha Verma"/>
    <x v="1"/>
    <x v="1"/>
    <x v="0"/>
    <n v="3500"/>
    <n v="3500"/>
    <n v="0.2"/>
    <n v="2024"/>
    <n v="1"/>
    <x v="0"/>
  </r>
  <r>
    <n v="1003"/>
    <s v="C003"/>
    <s v="P005"/>
    <n v="1"/>
    <x v="2"/>
    <n v="1500"/>
    <s v="Aman Gupta"/>
    <x v="2"/>
    <x v="2"/>
    <x v="0"/>
    <n v="92000"/>
    <n v="92000"/>
    <n v="1.6304347826086956E-2"/>
    <n v="2024"/>
    <n v="1"/>
    <x v="0"/>
  </r>
  <r>
    <n v="1004"/>
    <s v="C004"/>
    <s v="P009"/>
    <n v="1"/>
    <x v="3"/>
    <n v="300"/>
    <s v="Pooja Patil"/>
    <x v="3"/>
    <x v="3"/>
    <x v="0"/>
    <n v="58000"/>
    <n v="58000"/>
    <n v="5.1724137931034482E-3"/>
    <n v="2024"/>
    <n v="1"/>
    <x v="0"/>
  </r>
  <r>
    <n v="1005"/>
    <s v="C005"/>
    <s v="P003"/>
    <n v="3"/>
    <x v="4"/>
    <n v="18000"/>
    <s v="Ali Khan"/>
    <x v="0"/>
    <x v="4"/>
    <x v="1"/>
    <n v="1999"/>
    <n v="5997"/>
    <n v="3.0015007503751874"/>
    <n v="2024"/>
    <n v="1"/>
    <x v="0"/>
  </r>
  <r>
    <n v="1006"/>
    <s v="C006"/>
    <s v="P004"/>
    <n v="4"/>
    <x v="4"/>
    <n v="1600"/>
    <s v="Sonali Desai"/>
    <x v="1"/>
    <x v="5"/>
    <x v="1"/>
    <n v="299"/>
    <n v="1196"/>
    <n v="1.3377926421404682"/>
    <n v="2024"/>
    <n v="1"/>
    <x v="0"/>
  </r>
  <r>
    <n v="1007"/>
    <s v="C007"/>
    <s v="P011"/>
    <n v="1"/>
    <x v="5"/>
    <n v="900"/>
    <s v="Manish Jain"/>
    <x v="2"/>
    <x v="6"/>
    <x v="0"/>
    <n v="4500"/>
    <n v="4500"/>
    <n v="0.2"/>
    <n v="2024"/>
    <n v="1"/>
    <x v="0"/>
  </r>
  <r>
    <n v="1008"/>
    <s v="C008"/>
    <s v="P002"/>
    <n v="2"/>
    <x v="5"/>
    <n v="700"/>
    <s v="Asha Singh"/>
    <x v="3"/>
    <x v="7"/>
    <x v="0"/>
    <n v="2999"/>
    <n v="5998"/>
    <n v="0.11670556852284095"/>
    <n v="2024"/>
    <n v="1"/>
    <x v="0"/>
  </r>
  <r>
    <n v="1009"/>
    <s v="C009"/>
    <s v="P003"/>
    <n v="1"/>
    <x v="6"/>
    <n v="12000"/>
    <s v="Varun Mehta"/>
    <x v="0"/>
    <x v="4"/>
    <x v="1"/>
    <n v="1999"/>
    <n v="1999"/>
    <n v="6.0030015007503748"/>
    <n v="2024"/>
    <n v="1"/>
    <x v="0"/>
  </r>
  <r>
    <n v="1010"/>
    <s v="C010"/>
    <s v="P007"/>
    <n v="1"/>
    <x v="6"/>
    <n v="300"/>
    <s v="Deepa Reddy"/>
    <x v="1"/>
    <x v="8"/>
    <x v="2"/>
    <n v="5500"/>
    <n v="5500"/>
    <n v="5.4545454545454543E-2"/>
    <n v="2024"/>
    <n v="1"/>
    <x v="0"/>
  </r>
  <r>
    <n v="1011"/>
    <s v="C011"/>
    <s v="P014"/>
    <n v="1"/>
    <x v="7"/>
    <n v="1800"/>
    <s v="Riya Kapoor"/>
    <x v="2"/>
    <x v="9"/>
    <x v="2"/>
    <n v="8500"/>
    <n v="8500"/>
    <n v="0.21176470588235294"/>
    <n v="2024"/>
    <n v="1"/>
    <x v="0"/>
  </r>
  <r>
    <n v="1012"/>
    <s v="C012"/>
    <s v="P003"/>
    <n v="2"/>
    <x v="8"/>
    <n v="900"/>
    <s v="Rajat Singh"/>
    <x v="3"/>
    <x v="4"/>
    <x v="1"/>
    <n v="1999"/>
    <n v="3998"/>
    <n v="0.22511255627813906"/>
    <n v="2024"/>
    <n v="1"/>
    <x v="0"/>
  </r>
  <r>
    <n v="1013"/>
    <s v="C013"/>
    <s v="P022"/>
    <n v="1"/>
    <x v="8"/>
    <n v="1400"/>
    <s v="Shruti Nair"/>
    <x v="0"/>
    <x v="10"/>
    <x v="0"/>
    <n v="799"/>
    <n v="799"/>
    <n v="1.7521902377972465"/>
    <n v="2024"/>
    <n v="1"/>
    <x v="0"/>
  </r>
  <r>
    <n v="1014"/>
    <s v="C014"/>
    <s v="P015"/>
    <n v="1"/>
    <x v="9"/>
    <n v="450"/>
    <s v="Aadil Khan"/>
    <x v="1"/>
    <x v="11"/>
    <x v="0"/>
    <n v="12500"/>
    <n v="12500"/>
    <n v="3.5999999999999997E-2"/>
    <n v="2024"/>
    <n v="1"/>
    <x v="0"/>
  </r>
  <r>
    <n v="1015"/>
    <s v="C015"/>
    <s v="P001"/>
    <n v="2"/>
    <x v="9"/>
    <n v="400"/>
    <s v="Monica Shah"/>
    <x v="2"/>
    <x v="0"/>
    <x v="0"/>
    <n v="4500"/>
    <n v="9000"/>
    <n v="4.4444444444444446E-2"/>
    <n v="2024"/>
    <n v="1"/>
    <x v="0"/>
  </r>
  <r>
    <n v="1016"/>
    <s v="C016"/>
    <s v="P008"/>
    <n v="3"/>
    <x v="10"/>
    <n v="500"/>
    <s v="Rahul Jain"/>
    <x v="3"/>
    <x v="12"/>
    <x v="1"/>
    <n v="899"/>
    <n v="2697"/>
    <n v="0.1853911753800519"/>
    <n v="2024"/>
    <n v="1"/>
    <x v="0"/>
  </r>
  <r>
    <n v="1017"/>
    <s v="C017"/>
    <s v="P017"/>
    <n v="4"/>
    <x v="10"/>
    <n v="11000"/>
    <s v="Jyoti Patil"/>
    <x v="0"/>
    <x v="13"/>
    <x v="1"/>
    <n v="499"/>
    <n v="1996"/>
    <n v="5.5110220440881763"/>
    <n v="2024"/>
    <n v="1"/>
    <x v="0"/>
  </r>
  <r>
    <n v="1018"/>
    <s v="C018"/>
    <s v="P003"/>
    <n v="1"/>
    <x v="11"/>
    <n v="950"/>
    <s v="Harish Kumar"/>
    <x v="1"/>
    <x v="4"/>
    <x v="1"/>
    <n v="1999"/>
    <n v="1999"/>
    <n v="0.47523761880940468"/>
    <n v="2024"/>
    <n v="1"/>
    <x v="0"/>
  </r>
  <r>
    <n v="1019"/>
    <s v="C019"/>
    <s v="P011"/>
    <n v="1"/>
    <x v="12"/>
    <n v="2600"/>
    <s v="Ananya Rao"/>
    <x v="2"/>
    <x v="6"/>
    <x v="0"/>
    <n v="4500"/>
    <n v="4500"/>
    <n v="0.57777777777777772"/>
    <n v="2024"/>
    <n v="1"/>
    <x v="0"/>
  </r>
  <r>
    <n v="1020"/>
    <s v="C020"/>
    <s v="P009"/>
    <n v="1"/>
    <x v="13"/>
    <n v="1000"/>
    <s v="Sanjay Gupta"/>
    <x v="3"/>
    <x v="3"/>
    <x v="0"/>
    <n v="58000"/>
    <n v="58000"/>
    <n v="1.7241379310344827E-2"/>
    <n v="2024"/>
    <n v="1"/>
    <x v="0"/>
  </r>
  <r>
    <n v="1021"/>
    <s v="C021"/>
    <s v="P002"/>
    <n v="3"/>
    <x v="14"/>
    <n v="2200"/>
    <s v="Kunal Shah"/>
    <x v="0"/>
    <x v="7"/>
    <x v="0"/>
    <n v="2999"/>
    <n v="8997"/>
    <n v="0.24452595309547626"/>
    <n v="2024"/>
    <n v="1"/>
    <x v="0"/>
  </r>
  <r>
    <n v="1022"/>
    <s v="C022"/>
    <s v="P003"/>
    <n v="2"/>
    <x v="15"/>
    <n v="650"/>
    <s v="Seema Joshi"/>
    <x v="1"/>
    <x v="4"/>
    <x v="1"/>
    <n v="1999"/>
    <n v="3998"/>
    <n v="0.16258129064532267"/>
    <n v="2024"/>
    <n v="1"/>
    <x v="0"/>
  </r>
  <r>
    <n v="1023"/>
    <s v="C023"/>
    <s v="P006"/>
    <n v="1"/>
    <x v="16"/>
    <n v="380"/>
    <s v="Ashutosh Rana"/>
    <x v="2"/>
    <x v="1"/>
    <x v="0"/>
    <n v="3500"/>
    <n v="3500"/>
    <n v="0.10857142857142857"/>
    <n v="2024"/>
    <n v="1"/>
    <x v="0"/>
  </r>
  <r>
    <n v="1024"/>
    <s v="C024"/>
    <s v="P001"/>
    <n v="1"/>
    <x v="17"/>
    <n v="13000"/>
    <s v="Pankaj Yadav"/>
    <x v="3"/>
    <x v="0"/>
    <x v="0"/>
    <n v="4500"/>
    <n v="4500"/>
    <n v="2.8888888888888888"/>
    <n v="2024"/>
    <n v="1"/>
    <x v="0"/>
  </r>
  <r>
    <n v="1025"/>
    <s v="C025"/>
    <s v="P024"/>
    <n v="1"/>
    <x v="18"/>
    <n v="200"/>
    <s v="Komal Vora"/>
    <x v="0"/>
    <x v="14"/>
    <x v="1"/>
    <n v="1299"/>
    <n v="1299"/>
    <n v="0.15396458814472672"/>
    <n v="2024"/>
    <n v="1"/>
    <x v="0"/>
  </r>
  <r>
    <n v="1026"/>
    <s v="C026"/>
    <s v="P028"/>
    <n v="1"/>
    <x v="19"/>
    <n v="900"/>
    <s v="Sameer Seth"/>
    <x v="1"/>
    <x v="15"/>
    <x v="0"/>
    <n v="9500"/>
    <n v="9500"/>
    <n v="9.4736842105263161E-2"/>
    <n v="2024"/>
    <n v="1"/>
    <x v="0"/>
  </r>
  <r>
    <n v="1027"/>
    <s v="C027"/>
    <s v="P007"/>
    <n v="1"/>
    <x v="20"/>
    <n v="900"/>
    <s v="Rehan Khan"/>
    <x v="2"/>
    <x v="8"/>
    <x v="2"/>
    <n v="5500"/>
    <n v="5500"/>
    <n v="0.16363636363636364"/>
    <n v="2024"/>
    <n v="1"/>
    <x v="0"/>
  </r>
  <r>
    <n v="1028"/>
    <s v="C028"/>
    <s v="P010"/>
    <n v="5"/>
    <x v="21"/>
    <n v="3000"/>
    <s v="Samir Dholakia"/>
    <x v="3"/>
    <x v="16"/>
    <x v="1"/>
    <n v="249"/>
    <n v="1245"/>
    <n v="2.4096385542168677"/>
    <n v="2024"/>
    <n v="1"/>
    <x v="0"/>
  </r>
  <r>
    <n v="1029"/>
    <s v="C029"/>
    <s v="P019"/>
    <n v="1"/>
    <x v="22"/>
    <n v="800"/>
    <s v="Divya Singh"/>
    <x v="0"/>
    <x v="17"/>
    <x v="0"/>
    <n v="2500"/>
    <n v="2500"/>
    <n v="0.32"/>
    <n v="2024"/>
    <n v="1"/>
    <x v="0"/>
  </r>
  <r>
    <n v="1030"/>
    <s v="C030"/>
    <s v="P020"/>
    <n v="4"/>
    <x v="23"/>
    <n v="900"/>
    <s v="Meera Kapoor"/>
    <x v="1"/>
    <x v="18"/>
    <x v="3"/>
    <n v="450"/>
    <n v="1800"/>
    <n v="0.5"/>
    <n v="2024"/>
    <n v="1"/>
    <x v="0"/>
  </r>
  <r>
    <n v="1031"/>
    <s v="C031"/>
    <s v="P018"/>
    <n v="1"/>
    <x v="24"/>
    <n v="1800"/>
    <s v="Karan Mulchandani"/>
    <x v="2"/>
    <x v="19"/>
    <x v="0"/>
    <n v="1999"/>
    <n v="1999"/>
    <n v="0.90045022511255624"/>
    <n v="2024"/>
    <n v="1"/>
    <x v="0"/>
  </r>
  <r>
    <n v="1032"/>
    <s v="C032"/>
    <s v="P012"/>
    <n v="2"/>
    <x v="25"/>
    <n v="1000"/>
    <s v="Sonal Nair"/>
    <x v="3"/>
    <x v="20"/>
    <x v="1"/>
    <n v="799"/>
    <n v="1598"/>
    <n v="0.62578222778473092"/>
    <n v="2024"/>
    <n v="1"/>
    <x v="0"/>
  </r>
  <r>
    <n v="1033"/>
    <s v="C033"/>
    <s v="P003"/>
    <n v="1"/>
    <x v="25"/>
    <n v="14000"/>
    <s v="Yash Sharma"/>
    <x v="0"/>
    <x v="4"/>
    <x v="1"/>
    <n v="1999"/>
    <n v="1999"/>
    <n v="7.0035017508754374"/>
    <n v="2024"/>
    <n v="1"/>
    <x v="0"/>
  </r>
  <r>
    <n v="1034"/>
    <s v="C034"/>
    <s v="P025"/>
    <n v="2"/>
    <x v="26"/>
    <n v="350"/>
    <s v="Ankita Joshi"/>
    <x v="1"/>
    <x v="21"/>
    <x v="1"/>
    <n v="699"/>
    <n v="1398"/>
    <n v="0.25035765379113017"/>
    <n v="2024"/>
    <n v="1"/>
    <x v="0"/>
  </r>
  <r>
    <n v="1035"/>
    <s v="C035"/>
    <s v="P003"/>
    <n v="3"/>
    <x v="26"/>
    <n v="200"/>
    <s v="Jeet Kumar"/>
    <x v="2"/>
    <x v="4"/>
    <x v="1"/>
    <n v="1999"/>
    <n v="5997"/>
    <n v="3.3350008337502082E-2"/>
    <n v="2024"/>
    <n v="1"/>
    <x v="0"/>
  </r>
  <r>
    <n v="1036"/>
    <s v="C036"/>
    <s v="P021"/>
    <n v="2"/>
    <x v="27"/>
    <n v="850"/>
    <s v="Ritika Bose"/>
    <x v="3"/>
    <x v="22"/>
    <x v="4"/>
    <n v="299"/>
    <n v="598"/>
    <n v="1.4214046822742474"/>
    <n v="2024"/>
    <n v="1"/>
    <x v="0"/>
  </r>
  <r>
    <n v="1037"/>
    <s v="C037"/>
    <s v="P026"/>
    <n v="1"/>
    <x v="27"/>
    <n v="900"/>
    <s v="Vaishali Patel"/>
    <x v="0"/>
    <x v="23"/>
    <x v="0"/>
    <n v="899"/>
    <n v="899"/>
    <n v="1.0011123470522802"/>
    <n v="2024"/>
    <n v="1"/>
    <x v="0"/>
  </r>
  <r>
    <n v="1038"/>
    <s v="C038"/>
    <s v="P009"/>
    <n v="1"/>
    <x v="28"/>
    <n v="600"/>
    <s v="Amit Mehta"/>
    <x v="1"/>
    <x v="3"/>
    <x v="0"/>
    <n v="58000"/>
    <n v="58000"/>
    <n v="1.0344827586206896E-2"/>
    <n v="2024"/>
    <n v="1"/>
    <x v="0"/>
  </r>
  <r>
    <n v="1039"/>
    <s v="C039"/>
    <s v="P003"/>
    <n v="2"/>
    <x v="28"/>
    <n v="900"/>
    <s v="Tanvi Shah"/>
    <x v="2"/>
    <x v="4"/>
    <x v="1"/>
    <n v="1999"/>
    <n v="3998"/>
    <n v="0.22511255627813906"/>
    <n v="2024"/>
    <n v="1"/>
    <x v="0"/>
  </r>
  <r>
    <n v="1040"/>
    <s v="C040"/>
    <s v="P018"/>
    <n v="1"/>
    <x v="29"/>
    <n v="1900"/>
    <s v="Siddharth Jain"/>
    <x v="3"/>
    <x v="19"/>
    <x v="0"/>
    <n v="1999"/>
    <n v="1999"/>
    <n v="0.95047523761880937"/>
    <n v="2024"/>
    <n v="1"/>
    <x v="0"/>
  </r>
  <r>
    <n v="1041"/>
    <s v="C001"/>
    <s v="P003"/>
    <n v="1"/>
    <x v="30"/>
    <n v="15000"/>
    <s v="Rohit Sharma"/>
    <x v="0"/>
    <x v="4"/>
    <x v="1"/>
    <n v="1999"/>
    <n v="1999"/>
    <n v="7.5037518759379687"/>
    <n v="2024"/>
    <n v="2"/>
    <x v="1"/>
  </r>
  <r>
    <n v="1042"/>
    <s v="C002"/>
    <s v="P006"/>
    <n v="1"/>
    <x v="31"/>
    <n v="1200"/>
    <s v="Neha Verma"/>
    <x v="1"/>
    <x v="1"/>
    <x v="0"/>
    <n v="3500"/>
    <n v="3500"/>
    <n v="0.34285714285714286"/>
    <n v="2024"/>
    <n v="2"/>
    <x v="1"/>
  </r>
  <r>
    <n v="1043"/>
    <s v="C003"/>
    <s v="P009"/>
    <n v="2"/>
    <x v="32"/>
    <n v="2000"/>
    <s v="Aman Gupta"/>
    <x v="2"/>
    <x v="3"/>
    <x v="0"/>
    <n v="58000"/>
    <n v="116000"/>
    <n v="1.7241379310344827E-2"/>
    <n v="2024"/>
    <n v="2"/>
    <x v="1"/>
  </r>
  <r>
    <n v="1044"/>
    <s v="C004"/>
    <s v="P001"/>
    <n v="1"/>
    <x v="33"/>
    <n v="2000"/>
    <s v="Pooja Patil"/>
    <x v="3"/>
    <x v="0"/>
    <x v="0"/>
    <n v="4500"/>
    <n v="4500"/>
    <n v="0.44444444444444442"/>
    <n v="2024"/>
    <n v="2"/>
    <x v="1"/>
  </r>
  <r>
    <n v="1045"/>
    <s v="C005"/>
    <s v="P014"/>
    <n v="1"/>
    <x v="34"/>
    <n v="300"/>
    <s v="Ali Khan"/>
    <x v="0"/>
    <x v="9"/>
    <x v="2"/>
    <n v="8500"/>
    <n v="8500"/>
    <n v="3.5294117647058823E-2"/>
    <n v="2024"/>
    <n v="2"/>
    <x v="1"/>
  </r>
  <r>
    <n v="1046"/>
    <s v="C006"/>
    <s v="P004"/>
    <n v="5"/>
    <x v="35"/>
    <n v="2500"/>
    <s v="Sonali Desai"/>
    <x v="1"/>
    <x v="5"/>
    <x v="1"/>
    <n v="299"/>
    <n v="1495"/>
    <n v="1.6722408026755853"/>
    <n v="2024"/>
    <n v="2"/>
    <x v="1"/>
  </r>
  <r>
    <n v="1047"/>
    <s v="C007"/>
    <s v="P022"/>
    <n v="1"/>
    <x v="36"/>
    <n v="800"/>
    <s v="Manish Jain"/>
    <x v="2"/>
    <x v="10"/>
    <x v="0"/>
    <n v="799"/>
    <n v="799"/>
    <n v="1.0012515644555695"/>
    <n v="2024"/>
    <n v="2"/>
    <x v="1"/>
  </r>
  <r>
    <n v="1048"/>
    <s v="C008"/>
    <s v="P018"/>
    <n v="1"/>
    <x v="37"/>
    <n v="700"/>
    <s v="Asha Singh"/>
    <x v="3"/>
    <x v="19"/>
    <x v="0"/>
    <n v="1999"/>
    <n v="1999"/>
    <n v="0.35017508754377191"/>
    <n v="2024"/>
    <n v="2"/>
    <x v="1"/>
  </r>
  <r>
    <n v="1049"/>
    <s v="C009"/>
    <s v="P011"/>
    <n v="2"/>
    <x v="38"/>
    <n v="800"/>
    <s v="Varun Mehta"/>
    <x v="0"/>
    <x v="6"/>
    <x v="0"/>
    <n v="4500"/>
    <n v="9000"/>
    <n v="8.8888888888888892E-2"/>
    <n v="2024"/>
    <n v="2"/>
    <x v="1"/>
  </r>
  <r>
    <n v="1050"/>
    <s v="C010"/>
    <s v="P006"/>
    <n v="1"/>
    <x v="39"/>
    <n v="900"/>
    <s v="Deepa Reddy"/>
    <x v="1"/>
    <x v="1"/>
    <x v="0"/>
    <n v="3500"/>
    <n v="3500"/>
    <n v="0.25714285714285712"/>
    <n v="2024"/>
    <n v="2"/>
    <x v="1"/>
  </r>
  <r>
    <n v="1051"/>
    <s v="C012"/>
    <s v="P010"/>
    <n v="3"/>
    <x v="40"/>
    <n v="1800"/>
    <s v="Rajat Singh"/>
    <x v="3"/>
    <x v="16"/>
    <x v="1"/>
    <n v="249"/>
    <n v="747"/>
    <n v="2.4096385542168677"/>
    <n v="2024"/>
    <n v="2"/>
    <x v="1"/>
  </r>
  <r>
    <n v="1052"/>
    <s v="C013"/>
    <s v="P007"/>
    <n v="1"/>
    <x v="41"/>
    <n v="1000"/>
    <s v="Shruti Nair"/>
    <x v="0"/>
    <x v="8"/>
    <x v="2"/>
    <n v="5500"/>
    <n v="5500"/>
    <n v="0.18181818181818182"/>
    <n v="2024"/>
    <n v="2"/>
    <x v="1"/>
  </r>
  <r>
    <n v="1053"/>
    <s v="C014"/>
    <s v="P003"/>
    <n v="2"/>
    <x v="42"/>
    <n v="14000"/>
    <s v="Aadil Khan"/>
    <x v="1"/>
    <x v="4"/>
    <x v="1"/>
    <n v="1999"/>
    <n v="3998"/>
    <n v="3.5017508754377187"/>
    <n v="2024"/>
    <n v="2"/>
    <x v="1"/>
  </r>
  <r>
    <n v="1054"/>
    <s v="C015"/>
    <s v="P008"/>
    <n v="2"/>
    <x v="43"/>
    <n v="350"/>
    <s v="Monica Shah"/>
    <x v="2"/>
    <x v="12"/>
    <x v="1"/>
    <n v="899"/>
    <n v="1798"/>
    <n v="0.19466073414905449"/>
    <n v="2024"/>
    <n v="2"/>
    <x v="1"/>
  </r>
  <r>
    <n v="1055"/>
    <s v="C016"/>
    <s v="P012"/>
    <n v="2"/>
    <x v="44"/>
    <n v="200"/>
    <s v="Rahul Jain"/>
    <x v="3"/>
    <x v="20"/>
    <x v="1"/>
    <n v="799"/>
    <n v="1598"/>
    <n v="0.12515644555694619"/>
    <n v="2024"/>
    <n v="2"/>
    <x v="1"/>
  </r>
  <r>
    <n v="1056"/>
    <s v="C017"/>
    <s v="P003"/>
    <n v="1"/>
    <x v="45"/>
    <n v="850"/>
    <s v="Jyoti Patil"/>
    <x v="0"/>
    <x v="4"/>
    <x v="1"/>
    <n v="1999"/>
    <n v="1999"/>
    <n v="0.42521260630315155"/>
    <n v="2024"/>
    <n v="2"/>
    <x v="1"/>
  </r>
  <r>
    <n v="1057"/>
    <s v="C018"/>
    <s v="P025"/>
    <n v="3"/>
    <x v="46"/>
    <n v="900"/>
    <s v="Harish Kumar"/>
    <x v="1"/>
    <x v="21"/>
    <x v="1"/>
    <n v="699"/>
    <n v="2097"/>
    <n v="0.42918454935622319"/>
    <n v="2024"/>
    <n v="2"/>
    <x v="1"/>
  </r>
  <r>
    <n v="1058"/>
    <s v="C019"/>
    <s v="P006"/>
    <n v="2"/>
    <x v="47"/>
    <n v="600"/>
    <s v="Ananya Rao"/>
    <x v="2"/>
    <x v="1"/>
    <x v="0"/>
    <n v="3500"/>
    <n v="7000"/>
    <n v="8.5714285714285715E-2"/>
    <n v="2024"/>
    <n v="2"/>
    <x v="1"/>
  </r>
  <r>
    <n v="1059"/>
    <s v="C020"/>
    <s v="P011"/>
    <n v="1"/>
    <x v="48"/>
    <n v="900"/>
    <s v="Sanjay Gupta"/>
    <x v="3"/>
    <x v="6"/>
    <x v="0"/>
    <n v="4500"/>
    <n v="4500"/>
    <n v="0.2"/>
    <n v="2024"/>
    <n v="2"/>
    <x v="1"/>
  </r>
  <r>
    <n v="1060"/>
    <s v="C021"/>
    <s v="P004"/>
    <n v="4"/>
    <x v="49"/>
    <n v="1900"/>
    <s v="Kunal Shah"/>
    <x v="0"/>
    <x v="5"/>
    <x v="1"/>
    <n v="299"/>
    <n v="1196"/>
    <n v="1.5886287625418061"/>
    <n v="2024"/>
    <n v="2"/>
    <x v="1"/>
  </r>
  <r>
    <n v="1061"/>
    <s v="C022"/>
    <s v="P001"/>
    <n v="1"/>
    <x v="49"/>
    <n v="15000"/>
    <s v="Seema Joshi"/>
    <x v="1"/>
    <x v="0"/>
    <x v="0"/>
    <n v="4500"/>
    <n v="4500"/>
    <n v="3.3333333333333335"/>
    <n v="2024"/>
    <n v="2"/>
    <x v="1"/>
  </r>
  <r>
    <n v="1062"/>
    <s v="C023"/>
    <s v="P024"/>
    <n v="1"/>
    <x v="50"/>
    <n v="1200"/>
    <s v="Ashutosh Rana"/>
    <x v="2"/>
    <x v="14"/>
    <x v="1"/>
    <n v="1299"/>
    <n v="1299"/>
    <n v="0.92378752886836024"/>
    <n v="2024"/>
    <n v="2"/>
    <x v="1"/>
  </r>
  <r>
    <n v="1063"/>
    <s v="C024"/>
    <s v="P026"/>
    <n v="1"/>
    <x v="51"/>
    <n v="2000"/>
    <s v="Pankaj Yadav"/>
    <x v="3"/>
    <x v="23"/>
    <x v="0"/>
    <n v="899"/>
    <n v="899"/>
    <n v="2.2246941045606228"/>
    <n v="2024"/>
    <n v="2"/>
    <x v="1"/>
  </r>
  <r>
    <n v="1064"/>
    <s v="C025"/>
    <s v="P003"/>
    <n v="2"/>
    <x v="52"/>
    <n v="2000"/>
    <s v="Komal Vora"/>
    <x v="0"/>
    <x v="4"/>
    <x v="1"/>
    <n v="1999"/>
    <n v="3998"/>
    <n v="0.5002501250625313"/>
    <n v="2024"/>
    <n v="2"/>
    <x v="1"/>
  </r>
  <r>
    <n v="1065"/>
    <s v="C026"/>
    <s v="P012"/>
    <n v="4"/>
    <x v="53"/>
    <n v="300"/>
    <s v="Sameer Seth"/>
    <x v="1"/>
    <x v="20"/>
    <x v="1"/>
    <n v="799"/>
    <n v="3196"/>
    <n v="9.3867334167709635E-2"/>
    <n v="2024"/>
    <n v="2"/>
    <x v="1"/>
  </r>
  <r>
    <n v="1066"/>
    <s v="C027"/>
    <s v="P017"/>
    <n v="2"/>
    <x v="54"/>
    <n v="2500"/>
    <s v="Rehan Khan"/>
    <x v="2"/>
    <x v="13"/>
    <x v="1"/>
    <n v="499"/>
    <n v="998"/>
    <n v="2.5050100200400802"/>
    <n v="2024"/>
    <n v="2"/>
    <x v="1"/>
  </r>
  <r>
    <n v="1067"/>
    <s v="C028"/>
    <s v="P015"/>
    <n v="1"/>
    <x v="55"/>
    <n v="800"/>
    <s v="Samir Dholakia"/>
    <x v="3"/>
    <x v="11"/>
    <x v="0"/>
    <n v="12500"/>
    <n v="12500"/>
    <n v="6.4000000000000001E-2"/>
    <n v="2024"/>
    <n v="2"/>
    <x v="1"/>
  </r>
  <r>
    <n v="1068"/>
    <s v="C029"/>
    <s v="P022"/>
    <n v="1"/>
    <x v="56"/>
    <n v="700"/>
    <s v="Divya Singh"/>
    <x v="0"/>
    <x v="10"/>
    <x v="0"/>
    <n v="799"/>
    <n v="799"/>
    <n v="0.87609511889862324"/>
    <n v="2024"/>
    <n v="2"/>
    <x v="1"/>
  </r>
  <r>
    <n v="1069"/>
    <s v="C030"/>
    <s v="P011"/>
    <n v="2"/>
    <x v="57"/>
    <n v="350"/>
    <s v="Meera Kapoor"/>
    <x v="1"/>
    <x v="6"/>
    <x v="0"/>
    <n v="4500"/>
    <n v="9000"/>
    <n v="3.888888888888889E-2"/>
    <n v="2024"/>
    <n v="2"/>
    <x v="1"/>
  </r>
  <r>
    <n v="1070"/>
    <s v="C031"/>
    <s v="P018"/>
    <n v="1"/>
    <x v="58"/>
    <n v="200"/>
    <s v="Karan Mulchandani"/>
    <x v="2"/>
    <x v="19"/>
    <x v="0"/>
    <n v="1999"/>
    <n v="1999"/>
    <n v="0.10005002501250625"/>
    <n v="2024"/>
    <n v="2"/>
    <x v="1"/>
  </r>
  <r>
    <n v="1071"/>
    <s v="C032"/>
    <s v="P003"/>
    <n v="1"/>
    <x v="59"/>
    <n v="850"/>
    <s v="Sonal Nair"/>
    <x v="3"/>
    <x v="4"/>
    <x v="1"/>
    <n v="1999"/>
    <n v="1999"/>
    <n v="0.42521260630315155"/>
    <n v="2024"/>
    <n v="3"/>
    <x v="2"/>
  </r>
  <r>
    <n v="1072"/>
    <s v="C033"/>
    <s v="P009"/>
    <n v="1"/>
    <x v="60"/>
    <n v="900"/>
    <s v="Yash Sharma"/>
    <x v="0"/>
    <x v="3"/>
    <x v="0"/>
    <n v="58000"/>
    <n v="58000"/>
    <n v="1.5517241379310345E-2"/>
    <n v="2024"/>
    <n v="3"/>
    <x v="2"/>
  </r>
  <r>
    <n v="1073"/>
    <s v="C034"/>
    <s v="P006"/>
    <n v="2"/>
    <x v="61"/>
    <n v="600"/>
    <s v="Ankita Joshi"/>
    <x v="1"/>
    <x v="1"/>
    <x v="0"/>
    <n v="3500"/>
    <n v="7000"/>
    <n v="8.5714285714285715E-2"/>
    <n v="2024"/>
    <n v="3"/>
    <x v="2"/>
  </r>
  <r>
    <n v="1074"/>
    <s v="C035"/>
    <s v="P003"/>
    <n v="2"/>
    <x v="61"/>
    <n v="900"/>
    <s v="Jeet Kumar"/>
    <x v="2"/>
    <x v="4"/>
    <x v="1"/>
    <n v="1999"/>
    <n v="3998"/>
    <n v="0.22511255627813906"/>
    <n v="2024"/>
    <n v="3"/>
    <x v="2"/>
  </r>
  <r>
    <n v="1075"/>
    <s v="C036"/>
    <s v="P001"/>
    <n v="1"/>
    <x v="62"/>
    <n v="1900"/>
    <s v="Ritika Bose"/>
    <x v="3"/>
    <x v="0"/>
    <x v="0"/>
    <n v="4500"/>
    <n v="4500"/>
    <n v="0.42222222222222222"/>
    <n v="2024"/>
    <n v="3"/>
    <x v="2"/>
  </r>
  <r>
    <n v="1076"/>
    <s v="C037"/>
    <s v="P024"/>
    <n v="1"/>
    <x v="63"/>
    <n v="15000"/>
    <s v="Vaishali Patel"/>
    <x v="0"/>
    <x v="14"/>
    <x v="1"/>
    <n v="1299"/>
    <n v="1299"/>
    <n v="11.547344110854503"/>
    <n v="2024"/>
    <n v="3"/>
    <x v="2"/>
  </r>
  <r>
    <n v="1077"/>
    <s v="C038"/>
    <s v="P018"/>
    <n v="1"/>
    <x v="64"/>
    <n v="1200"/>
    <s v="Amit Mehta"/>
    <x v="1"/>
    <x v="19"/>
    <x v="0"/>
    <n v="1999"/>
    <n v="1999"/>
    <n v="0.60030015007503756"/>
    <n v="2024"/>
    <n v="3"/>
    <x v="2"/>
  </r>
  <r>
    <n v="1078"/>
    <s v="C039"/>
    <s v="P014"/>
    <n v="1"/>
    <x v="65"/>
    <n v="2000"/>
    <s v="Tanvi Shah"/>
    <x v="2"/>
    <x v="9"/>
    <x v="2"/>
    <n v="8500"/>
    <n v="8500"/>
    <n v="0.23529411764705882"/>
    <n v="2024"/>
    <n v="3"/>
    <x v="2"/>
  </r>
  <r>
    <n v="1079"/>
    <s v="C040"/>
    <s v="P007"/>
    <n v="2"/>
    <x v="66"/>
    <n v="2000"/>
    <s v="Siddharth Jain"/>
    <x v="3"/>
    <x v="8"/>
    <x v="2"/>
    <n v="5500"/>
    <n v="11000"/>
    <n v="0.18181818181818182"/>
    <n v="2024"/>
    <n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F6B23-77C7-47E8-93BE-52E33EDC0733}" name="Salse By Reas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6" firstHeaderRow="1" firstDataRow="1" firstDataCol="1"/>
  <pivotFields count="16">
    <pivotField showAll="0"/>
    <pivotField showAll="0"/>
    <pivotField showAll="0"/>
    <pivotField showAll="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axis="axisRow" showAll="0">
      <items count="5">
        <item x="3"/>
        <item x="0"/>
        <item x="1"/>
        <item x="2"/>
        <item t="default"/>
      </items>
    </pivotField>
    <pivotField showAll="0"/>
    <pivotField showAll="0">
      <items count="6">
        <item x="1"/>
        <item x="0"/>
        <item x="3"/>
        <item x="2"/>
        <item x="4"/>
        <item t="default"/>
      </items>
    </pivotField>
    <pivotField showAll="0"/>
    <pivotField dataField="1" showAll="0"/>
    <pivotField showAll="0"/>
    <pivotField showAll="0"/>
    <pivotField showAll="0"/>
    <pivotField showAll="0"/>
  </pivotFields>
  <rowFields count="1">
    <field x="7"/>
  </rowFields>
  <rowItems count="5">
    <i>
      <x/>
    </i>
    <i>
      <x v="1"/>
    </i>
    <i>
      <x v="2"/>
    </i>
    <i>
      <x v="3"/>
    </i>
    <i t="grand">
      <x/>
    </i>
  </rowItems>
  <colItems count="1">
    <i/>
  </colItems>
  <dataFields count="1">
    <dataField name="Sum of Sals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CA688-F6B8-46F1-8A75-AA8D2230D1D1}" name="profit by 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10:J14" firstHeaderRow="1" firstDataRow="1" firstDataCol="1"/>
  <pivotFields count="16">
    <pivotField showAll="0"/>
    <pivotField showAll="0"/>
    <pivotField showAll="0"/>
    <pivotField showAll="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dataField="1" showAll="0"/>
    <pivotField showAll="0"/>
    <pivotField showAll="0">
      <items count="5">
        <item x="3"/>
        <item x="0"/>
        <item x="1"/>
        <item x="2"/>
        <item t="default"/>
      </items>
    </pivotField>
    <pivotField showAll="0"/>
    <pivotField showAll="0">
      <items count="6">
        <item x="1"/>
        <item x="0"/>
        <item x="3"/>
        <item x="2"/>
        <item x="4"/>
        <item t="default"/>
      </items>
    </pivotField>
    <pivotField showAll="0"/>
    <pivotField showAll="0"/>
    <pivotField showAll="0"/>
    <pivotField showAll="0"/>
    <pivotField showAll="0"/>
    <pivotField axis="axisRow" showAll="0">
      <items count="4">
        <item x="0"/>
        <item x="1"/>
        <item x="2"/>
        <item t="default"/>
      </items>
    </pivotField>
  </pivotFields>
  <rowFields count="1">
    <field x="15"/>
  </rowFields>
  <rowItems count="4">
    <i>
      <x/>
    </i>
    <i>
      <x v="1"/>
    </i>
    <i>
      <x v="2"/>
    </i>
    <i t="grand">
      <x/>
    </i>
  </rowItems>
  <colItems count="1">
    <i/>
  </colItems>
  <dataFields count="1">
    <dataField name="Sum of Profit" fld="5"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C1D53-8DC9-4BB2-92C3-84BEE10200FB}" name="profit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0:B15" firstHeaderRow="1" firstDataRow="1" firstDataCol="1"/>
  <pivotFields count="16">
    <pivotField showAll="0"/>
    <pivotField showAll="0"/>
    <pivotField showAll="0"/>
    <pivotField showAll="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dataField="1" showAll="0"/>
    <pivotField showAll="0"/>
    <pivotField axis="axisRow" showAll="0">
      <items count="5">
        <item x="3"/>
        <item x="0"/>
        <item x="1"/>
        <item x="2"/>
        <item t="default"/>
      </items>
    </pivotField>
    <pivotField showAll="0"/>
    <pivotField showAll="0">
      <items count="6">
        <item x="1"/>
        <item x="0"/>
        <item x="3"/>
        <item x="2"/>
        <item x="4"/>
        <item t="default"/>
      </items>
    </pivotField>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Profit" fld="5" baseField="0" baseItem="0"/>
  </dataFields>
  <chartFormats count="6">
    <chartFormat chart="1"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 chart="11"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B30061-9FEC-4857-89CE-584F9148055F}" name="salse by 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J5" firstHeaderRow="1" firstDataRow="1" firstDataCol="1"/>
  <pivotFields count="16">
    <pivotField showAll="0"/>
    <pivotField showAll="0"/>
    <pivotField showAll="0"/>
    <pivotField showAll="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showAll="0">
      <items count="5">
        <item x="3"/>
        <item x="0"/>
        <item x="1"/>
        <item x="2"/>
        <item t="default"/>
      </items>
    </pivotField>
    <pivotField showAll="0"/>
    <pivotField showAll="0">
      <items count="6">
        <item x="1"/>
        <item x="0"/>
        <item x="3"/>
        <item x="2"/>
        <item x="4"/>
        <item t="default"/>
      </items>
    </pivotField>
    <pivotField showAll="0"/>
    <pivotField dataField="1" showAll="0"/>
    <pivotField showAll="0"/>
    <pivotField showAll="0"/>
    <pivotField showAll="0"/>
    <pivotField axis="axisRow" showAll="0">
      <items count="4">
        <item x="0"/>
        <item x="1"/>
        <item x="2"/>
        <item t="default"/>
      </items>
    </pivotField>
  </pivotFields>
  <rowFields count="1">
    <field x="15"/>
  </rowFields>
  <rowItems count="4">
    <i>
      <x/>
    </i>
    <i>
      <x v="1"/>
    </i>
    <i>
      <x v="2"/>
    </i>
    <i t="grand">
      <x/>
    </i>
  </rowItems>
  <colItems count="1">
    <i/>
  </colItems>
  <dataFields count="1">
    <dataField name="Sum of Sals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140291-E042-46E7-A53A-DBEE896CC4A9}" name="salse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F7" firstHeaderRow="1" firstDataRow="1" firstDataCol="1"/>
  <pivotFields count="16">
    <pivotField showAll="0"/>
    <pivotField showAll="0"/>
    <pivotField showAll="0"/>
    <pivotField showAll="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showAll="0">
      <items count="5">
        <item x="3"/>
        <item x="0"/>
        <item x="1"/>
        <item x="2"/>
        <item t="default"/>
      </items>
    </pivotField>
    <pivotField showAll="0"/>
    <pivotField axis="axisRow" showAll="0">
      <items count="6">
        <item x="1"/>
        <item x="0"/>
        <item x="3"/>
        <item x="2"/>
        <item x="4"/>
        <item t="default"/>
      </items>
    </pivotField>
    <pivotField showAll="0"/>
    <pivotField dataField="1"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Sals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069AA1-92EA-4864-AD3A-F3DE56B15EAC}" name="product name by profit,sal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9:C44" firstHeaderRow="0" firstDataRow="1" firstDataCol="1"/>
  <pivotFields count="16">
    <pivotField showAll="0"/>
    <pivotField showAll="0"/>
    <pivotField showAll="0"/>
    <pivotField showAll="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dataField="1" showAll="0"/>
    <pivotField showAll="0"/>
    <pivotField showAll="0">
      <items count="5">
        <item x="3"/>
        <item x="0"/>
        <item x="1"/>
        <item x="2"/>
        <item t="default"/>
      </items>
    </pivotField>
    <pivotField axis="axisRow" showAll="0">
      <items count="25">
        <item x="0"/>
        <item x="2"/>
        <item x="14"/>
        <item x="1"/>
        <item x="8"/>
        <item x="21"/>
        <item x="7"/>
        <item x="19"/>
        <item x="3"/>
        <item x="12"/>
        <item x="11"/>
        <item x="5"/>
        <item x="4"/>
        <item x="22"/>
        <item x="9"/>
        <item x="10"/>
        <item x="15"/>
        <item x="18"/>
        <item x="23"/>
        <item x="6"/>
        <item x="13"/>
        <item x="16"/>
        <item x="17"/>
        <item x="20"/>
        <item t="default"/>
      </items>
    </pivotField>
    <pivotField showAll="0">
      <items count="6">
        <item x="1"/>
        <item x="0"/>
        <item x="3"/>
        <item x="2"/>
        <item x="4"/>
        <item t="default"/>
      </items>
    </pivotField>
    <pivotField showAll="0"/>
    <pivotField dataField="1" showAll="0"/>
    <pivotField showAll="0"/>
    <pivotField showAll="0"/>
    <pivotField showAll="0"/>
    <pivotField showAll="0">
      <items count="4">
        <item x="0"/>
        <item x="1"/>
        <item x="2"/>
        <item t="default"/>
      </items>
    </pivotField>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Profit" fld="5" baseField="0" baseItem="0"/>
    <dataField name="Sum of Salse" fld="11"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2740D5-E7BB-447E-893D-5092CD4071B3}" name="profit by catego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E10:F28" firstHeaderRow="1" firstDataRow="1" firstDataCol="1"/>
  <pivotFields count="16">
    <pivotField subtotalTop="0" showAll="0" defaultSubtotal="0"/>
    <pivotField subtotalTop="0" showAll="0" defaultSubtotal="0"/>
    <pivotField subtotalTop="0" showAll="0" defaultSubtotal="0"/>
    <pivotField subtotalTop="0" showAll="0" defaultSubtotal="0"/>
    <pivotField numFmtId="14" subtotalTop="0" showAll="0" defaultSubtota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dataField="1" subtotalTop="0" showAll="0" defaultSubtotal="0"/>
    <pivotField subtotalTop="0" showAll="0" defaultSubtotal="0"/>
    <pivotField axis="axisRow" subtotalTop="0" showAll="0" defaultSubtotal="0">
      <items count="4">
        <item x="3"/>
        <item x="0"/>
        <item x="1"/>
        <item x="2"/>
      </items>
    </pivotField>
    <pivotField subtotalTop="0" showAll="0" defaultSubtotal="0"/>
    <pivotField axis="axisRow" subtotalTop="0" showAll="0" defaultSubtotal="0">
      <items count="5">
        <item x="1"/>
        <item x="0"/>
        <item x="3"/>
        <item x="2"/>
        <item x="4"/>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2">
    <field x="7"/>
    <field x="9"/>
  </rowFields>
  <rowItems count="18">
    <i>
      <x/>
    </i>
    <i r="1">
      <x/>
    </i>
    <i r="1">
      <x v="1"/>
    </i>
    <i r="1">
      <x v="3"/>
    </i>
    <i r="1">
      <x v="4"/>
    </i>
    <i>
      <x v="1"/>
    </i>
    <i r="1">
      <x/>
    </i>
    <i r="1">
      <x v="1"/>
    </i>
    <i r="1">
      <x v="3"/>
    </i>
    <i>
      <x v="2"/>
    </i>
    <i r="1">
      <x/>
    </i>
    <i r="1">
      <x v="1"/>
    </i>
    <i r="1">
      <x v="2"/>
    </i>
    <i r="1">
      <x v="3"/>
    </i>
    <i>
      <x v="3"/>
    </i>
    <i r="1">
      <x/>
    </i>
    <i r="1">
      <x v="1"/>
    </i>
    <i r="1">
      <x v="3"/>
    </i>
  </rowItems>
  <colItems count="1">
    <i/>
  </colItems>
  <dataFields count="1">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CF0E0D-0146-47FB-B4D8-DBFEA7896759}" sourceName="Region">
  <pivotTables>
    <pivotTable tabId="6" name="product name by profit,salse"/>
    <pivotTable tabId="6" name="profit by category"/>
    <pivotTable tabId="6" name="profit by months"/>
    <pivotTable tabId="6" name="profit by region"/>
    <pivotTable tabId="6" name="salse by category"/>
    <pivotTable tabId="6" name="salse by months"/>
    <pivotTable tabId="6" name="Salse By Reasion"/>
  </pivotTables>
  <data>
    <tabular pivotCacheId="160052505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5BF224-AA5A-4AA5-8FF3-2A28208BCCEF}" sourceName="Category">
  <pivotTables>
    <pivotTable tabId="6" name="product name by profit,salse"/>
    <pivotTable tabId="6" name="profit by category"/>
    <pivotTable tabId="6" name="profit by months"/>
    <pivotTable tabId="6" name="profit by region"/>
    <pivotTable tabId="6" name="salse by category"/>
    <pivotTable tabId="6" name="salse by months"/>
    <pivotTable tabId="6" name="Salse By Reasion"/>
  </pivotTables>
  <data>
    <tabular pivotCacheId="1600525051">
      <items count="5">
        <i x="1"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E3AC3BF-3114-425E-B4AA-422E7DE8EC91}" sourceName="months">
  <pivotTables>
    <pivotTable tabId="6" name="product name by profit,salse"/>
  </pivotTables>
  <data>
    <tabular pivotCacheId="160052505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ACC2D6-C80F-491E-BC1F-AD5C148100FC}" cache="Slicer_Region" caption="Region" showCaption="0" style="SlicerStyleLight1 2" rowHeight="540000"/>
  <slicer name="Category" xr10:uid="{6CB16E5F-9860-41FF-A21B-8076AE85E493}" cache="Slicer_Category" caption="Category" columnCount="5" showCaption="0" style="SlicerStyleLight1 2" rowHeight="504000"/>
  <slicer name="months" xr10:uid="{112F043A-7BFD-4FCD-81D5-B631B119BACA}" cache="Slicer_months" caption="months" showCaption="0" style="SlicerStyleLight1 2"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43F78E-8582-41F6-BF6A-7682479CDA57}" name="Table2" displayName="Table2" ref="A1:P80" totalsRowShown="0">
  <tableColumns count="16">
    <tableColumn id="1" xr3:uid="{6E166432-B379-40FB-B8CB-86BDC9F2ED77}" name="OrderID"/>
    <tableColumn id="2" xr3:uid="{8DD6D943-2B9E-4F29-973E-C4FD60E17B3B}" name="CustomerID"/>
    <tableColumn id="3" xr3:uid="{6ACE8DFD-7730-4127-AAF5-95F79E047A4F}" name="ProductID"/>
    <tableColumn id="4" xr3:uid="{04DD649B-D45C-4786-8574-B4E808AE00D5}" name="Quantity"/>
    <tableColumn id="5" xr3:uid="{C5977E11-7451-41E8-A361-1DB8DF6A09D8}" name="OrderDate" dataDxfId="5"/>
    <tableColumn id="6" xr3:uid="{3441C2AC-0523-4F45-B66E-61C5865535DB}" name="Profit"/>
    <tableColumn id="7" xr3:uid="{FD14369B-C4D1-48D8-805C-4CFF700F2227}" name="CustomerName">
      <calculatedColumnFormula>VLOOKUP(project!$B2,Customer!$A$1:$C$41,MATCH(Customer!B$1,Customer!$A$1:$C$1,0),FALSE)</calculatedColumnFormula>
    </tableColumn>
    <tableColumn id="8" xr3:uid="{64675972-7F0E-4E7C-B598-FBBA70588BEA}" name="Region">
      <calculatedColumnFormula>VLOOKUP(project!$B2,Customer!$A$1:$C$41,MATCH(Customer!C$1,Customer!$A$1:$C$1,0),FALSE)</calculatedColumnFormula>
    </tableColumn>
    <tableColumn id="9" xr3:uid="{B05B7D21-AA77-41D2-84D5-7538CFE5B62C}" name="ProductName">
      <calculatedColumnFormula>VLOOKUP(project!$C2,Product_table!$A$1:$D$31,MATCH(Product_table!B$1,Product_table!$A$1:$D$1,0))</calculatedColumnFormula>
    </tableColumn>
    <tableColumn id="10" xr3:uid="{6AA13B70-56FB-447A-960B-1D19B165D852}" name="Category">
      <calculatedColumnFormula>VLOOKUP(project!$C2,Product_table!$A$1:$D$31,MATCH(Product_table!C$1,Product_table!$A$1:$D$1,0))</calculatedColumnFormula>
    </tableColumn>
    <tableColumn id="11" xr3:uid="{A88E8D62-AA6B-447C-ABB6-D85A29ADF485}" name="Price">
      <calculatedColumnFormula>VLOOKUP(project!$C2,Product_table!$A$1:$D$31,MATCH(Product_table!D$1,Product_table!$A$1:$D$1,0))</calculatedColumnFormula>
    </tableColumn>
    <tableColumn id="12" xr3:uid="{326F3E16-DEDC-4F33-8C27-E7DE35D0EFD0}" name="Salse" dataDxfId="4">
      <calculatedColumnFormula>Table2[[#This Row],[Price]]*Table2[[#This Row],[Quantity]]</calculatedColumnFormula>
    </tableColumn>
    <tableColumn id="13" xr3:uid="{8B235E0B-2866-4DA1-8892-0005CF3B2F47}" name="profit Margin" dataDxfId="3">
      <calculatedColumnFormula>Table2[[#This Row],[Profit]]/Table2[[#This Row],[Salse]]</calculatedColumnFormula>
    </tableColumn>
    <tableColumn id="14" xr3:uid="{AB59CAD3-F94A-4459-A7A3-7A44F871B7C9}" name="year" dataDxfId="2">
      <calculatedColumnFormula>YEAR(Table2[[#This Row],[OrderDate]])</calculatedColumnFormula>
    </tableColumn>
    <tableColumn id="15" xr3:uid="{415F5766-FF72-49CA-AEE5-578C3CDC556E}" name="month" dataDxfId="1">
      <calculatedColumnFormula>MONTH(Table2[[#This Row],[OrderDate]])</calculatedColumnFormula>
    </tableColumn>
    <tableColumn id="16" xr3:uid="{B57B2CA7-8619-4B04-8D67-C1C83F10DAB9}" name="months" dataDxfId="0">
      <calculatedColumnFormula>TEXT(Table2[[#This Row],[OrderDate]],"mmm")</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0EC7E622-2AF9-440E-B644-6AAE851CA2B9}" sourceName="OrderDate">
  <pivotTables>
    <pivotTable tabId="6" name="product name by profit,salse"/>
    <pivotTable tabId="6" name="profit by category"/>
    <pivotTable tabId="6" name="profit by months"/>
    <pivotTable tabId="6" name="profit by region"/>
    <pivotTable tabId="6" name="salse by category"/>
    <pivotTable tabId="6" name="salse by months"/>
    <pivotTable tabId="6" name="Salse By Reasion"/>
  </pivotTables>
  <state minimalRefreshVersion="6" lastRefreshVersion="6" pivotCacheId="160052505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0BE4A49-0E55-4EAB-83BA-4DFB3621CF72}" cache="NativeTimeline_OrderDate" caption="OrderDate" level="2" selectionLevel="2" scrollPosition="2024-01-01T00:00:00"/>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93C7-A98F-4FFB-9CD6-7AD8308FD560}">
  <dimension ref="A1:F80"/>
  <sheetViews>
    <sheetView workbookViewId="0">
      <selection activeCell="H6" sqref="H6"/>
    </sheetView>
  </sheetViews>
  <sheetFormatPr defaultRowHeight="14.5" x14ac:dyDescent="0.35"/>
  <cols>
    <col min="1" max="1" width="7.6328125" bestFit="1" customWidth="1"/>
    <col min="2" max="2" width="10.90625" bestFit="1" customWidth="1"/>
    <col min="3" max="3" width="9.26953125" bestFit="1" customWidth="1"/>
    <col min="4" max="4" width="8.26953125" bestFit="1" customWidth="1"/>
    <col min="5" max="5" width="10.08984375" bestFit="1" customWidth="1"/>
  </cols>
  <sheetData>
    <row r="1" spans="1:6" x14ac:dyDescent="0.35">
      <c r="A1" t="s">
        <v>0</v>
      </c>
      <c r="B1" t="s">
        <v>66</v>
      </c>
      <c r="C1" t="s">
        <v>67</v>
      </c>
      <c r="D1" t="s">
        <v>7</v>
      </c>
      <c r="E1" t="s">
        <v>1</v>
      </c>
      <c r="F1" t="s">
        <v>160</v>
      </c>
    </row>
    <row r="2" spans="1:6" x14ac:dyDescent="0.35">
      <c r="A2">
        <v>1001</v>
      </c>
      <c r="B2" t="s">
        <v>68</v>
      </c>
      <c r="C2" t="s">
        <v>69</v>
      </c>
      <c r="D2">
        <v>2</v>
      </c>
      <c r="E2" s="1">
        <v>45293</v>
      </c>
      <c r="F2">
        <v>1800</v>
      </c>
    </row>
    <row r="3" spans="1:6" x14ac:dyDescent="0.35">
      <c r="A3">
        <v>1002</v>
      </c>
      <c r="B3" t="s">
        <v>70</v>
      </c>
      <c r="C3" t="s">
        <v>71</v>
      </c>
      <c r="D3">
        <v>1</v>
      </c>
      <c r="E3" s="1">
        <v>45294</v>
      </c>
      <c r="F3">
        <v>700</v>
      </c>
    </row>
    <row r="4" spans="1:6" x14ac:dyDescent="0.35">
      <c r="A4">
        <v>1003</v>
      </c>
      <c r="B4" t="s">
        <v>72</v>
      </c>
      <c r="C4" t="s">
        <v>73</v>
      </c>
      <c r="D4">
        <v>1</v>
      </c>
      <c r="E4" s="1">
        <v>45295</v>
      </c>
      <c r="F4">
        <v>1500</v>
      </c>
    </row>
    <row r="5" spans="1:6" x14ac:dyDescent="0.35">
      <c r="A5">
        <v>1004</v>
      </c>
      <c r="B5" t="s">
        <v>74</v>
      </c>
      <c r="C5" t="s">
        <v>75</v>
      </c>
      <c r="D5">
        <v>1</v>
      </c>
      <c r="E5" s="1">
        <v>45296</v>
      </c>
      <c r="F5">
        <v>300</v>
      </c>
    </row>
    <row r="6" spans="1:6" x14ac:dyDescent="0.35">
      <c r="A6">
        <v>1005</v>
      </c>
      <c r="B6" t="s">
        <v>76</v>
      </c>
      <c r="C6" t="s">
        <v>77</v>
      </c>
      <c r="D6">
        <v>3</v>
      </c>
      <c r="E6" s="1">
        <v>45297</v>
      </c>
      <c r="F6">
        <v>18000</v>
      </c>
    </row>
    <row r="7" spans="1:6" x14ac:dyDescent="0.35">
      <c r="A7">
        <v>1006</v>
      </c>
      <c r="B7" t="s">
        <v>78</v>
      </c>
      <c r="C7" t="s">
        <v>79</v>
      </c>
      <c r="D7">
        <v>4</v>
      </c>
      <c r="E7" s="1">
        <v>45297</v>
      </c>
      <c r="F7">
        <v>1600</v>
      </c>
    </row>
    <row r="8" spans="1:6" x14ac:dyDescent="0.35">
      <c r="A8">
        <v>1007</v>
      </c>
      <c r="B8" t="s">
        <v>80</v>
      </c>
      <c r="C8" t="s">
        <v>81</v>
      </c>
      <c r="D8">
        <v>1</v>
      </c>
      <c r="E8" s="1">
        <v>45298</v>
      </c>
      <c r="F8">
        <v>900</v>
      </c>
    </row>
    <row r="9" spans="1:6" x14ac:dyDescent="0.35">
      <c r="A9">
        <v>1008</v>
      </c>
      <c r="B9" t="s">
        <v>82</v>
      </c>
      <c r="C9" t="s">
        <v>83</v>
      </c>
      <c r="D9">
        <v>2</v>
      </c>
      <c r="E9" s="1">
        <v>45298</v>
      </c>
      <c r="F9">
        <v>700</v>
      </c>
    </row>
    <row r="10" spans="1:6" x14ac:dyDescent="0.35">
      <c r="A10">
        <v>1009</v>
      </c>
      <c r="B10" t="s">
        <v>84</v>
      </c>
      <c r="C10" t="s">
        <v>77</v>
      </c>
      <c r="D10">
        <v>1</v>
      </c>
      <c r="E10" s="1">
        <v>45299</v>
      </c>
      <c r="F10">
        <v>12000</v>
      </c>
    </row>
    <row r="11" spans="1:6" x14ac:dyDescent="0.35">
      <c r="A11">
        <v>1010</v>
      </c>
      <c r="B11" t="s">
        <v>85</v>
      </c>
      <c r="C11" t="s">
        <v>86</v>
      </c>
      <c r="D11">
        <v>1</v>
      </c>
      <c r="E11" s="1">
        <v>45299</v>
      </c>
      <c r="F11">
        <v>300</v>
      </c>
    </row>
    <row r="12" spans="1:6" x14ac:dyDescent="0.35">
      <c r="A12">
        <v>1011</v>
      </c>
      <c r="B12" t="s">
        <v>87</v>
      </c>
      <c r="C12" t="s">
        <v>88</v>
      </c>
      <c r="D12">
        <v>1</v>
      </c>
      <c r="E12" s="1">
        <v>45300</v>
      </c>
      <c r="F12">
        <v>1800</v>
      </c>
    </row>
    <row r="13" spans="1:6" x14ac:dyDescent="0.35">
      <c r="A13">
        <v>1012</v>
      </c>
      <c r="B13" t="s">
        <v>89</v>
      </c>
      <c r="C13" t="s">
        <v>77</v>
      </c>
      <c r="D13">
        <v>2</v>
      </c>
      <c r="E13" s="1">
        <v>45301</v>
      </c>
      <c r="F13">
        <v>900</v>
      </c>
    </row>
    <row r="14" spans="1:6" x14ac:dyDescent="0.35">
      <c r="A14">
        <v>1013</v>
      </c>
      <c r="B14" t="s">
        <v>90</v>
      </c>
      <c r="C14" t="s">
        <v>91</v>
      </c>
      <c r="D14">
        <v>1</v>
      </c>
      <c r="E14" s="1">
        <v>45301</v>
      </c>
      <c r="F14">
        <v>1400</v>
      </c>
    </row>
    <row r="15" spans="1:6" x14ac:dyDescent="0.35">
      <c r="A15">
        <v>1014</v>
      </c>
      <c r="B15" t="s">
        <v>92</v>
      </c>
      <c r="C15" t="s">
        <v>93</v>
      </c>
      <c r="D15">
        <v>1</v>
      </c>
      <c r="E15" s="1">
        <v>45302</v>
      </c>
      <c r="F15">
        <v>450</v>
      </c>
    </row>
    <row r="16" spans="1:6" x14ac:dyDescent="0.35">
      <c r="A16">
        <v>1015</v>
      </c>
      <c r="B16" t="s">
        <v>94</v>
      </c>
      <c r="C16" t="s">
        <v>69</v>
      </c>
      <c r="D16">
        <v>2</v>
      </c>
      <c r="E16" s="1">
        <v>45302</v>
      </c>
      <c r="F16">
        <v>400</v>
      </c>
    </row>
    <row r="17" spans="1:6" x14ac:dyDescent="0.35">
      <c r="A17">
        <v>1016</v>
      </c>
      <c r="B17" t="s">
        <v>95</v>
      </c>
      <c r="C17" t="s">
        <v>96</v>
      </c>
      <c r="D17">
        <v>3</v>
      </c>
      <c r="E17" s="1">
        <v>45303</v>
      </c>
      <c r="F17">
        <v>500</v>
      </c>
    </row>
    <row r="18" spans="1:6" x14ac:dyDescent="0.35">
      <c r="A18">
        <v>1017</v>
      </c>
      <c r="B18" t="s">
        <v>97</v>
      </c>
      <c r="C18" t="s">
        <v>98</v>
      </c>
      <c r="D18">
        <v>4</v>
      </c>
      <c r="E18" s="1">
        <v>45303</v>
      </c>
      <c r="F18">
        <v>11000</v>
      </c>
    </row>
    <row r="19" spans="1:6" x14ac:dyDescent="0.35">
      <c r="A19">
        <v>1018</v>
      </c>
      <c r="B19" t="s">
        <v>99</v>
      </c>
      <c r="C19" t="s">
        <v>77</v>
      </c>
      <c r="D19">
        <v>1</v>
      </c>
      <c r="E19" s="1">
        <v>45304</v>
      </c>
      <c r="F19">
        <v>950</v>
      </c>
    </row>
    <row r="20" spans="1:6" x14ac:dyDescent="0.35">
      <c r="A20">
        <v>1019</v>
      </c>
      <c r="B20" t="s">
        <v>100</v>
      </c>
      <c r="C20" t="s">
        <v>81</v>
      </c>
      <c r="D20">
        <v>1</v>
      </c>
      <c r="E20" s="1">
        <v>45305</v>
      </c>
      <c r="F20">
        <v>2600</v>
      </c>
    </row>
    <row r="21" spans="1:6" x14ac:dyDescent="0.35">
      <c r="A21">
        <v>1020</v>
      </c>
      <c r="B21" t="s">
        <v>101</v>
      </c>
      <c r="C21" t="s">
        <v>75</v>
      </c>
      <c r="D21">
        <v>1</v>
      </c>
      <c r="E21" s="1">
        <v>45306</v>
      </c>
      <c r="F21">
        <v>1000</v>
      </c>
    </row>
    <row r="22" spans="1:6" x14ac:dyDescent="0.35">
      <c r="A22">
        <v>1021</v>
      </c>
      <c r="B22" t="s">
        <v>102</v>
      </c>
      <c r="C22" t="s">
        <v>83</v>
      </c>
      <c r="D22">
        <v>3</v>
      </c>
      <c r="E22" s="1">
        <v>45307</v>
      </c>
      <c r="F22">
        <v>2200</v>
      </c>
    </row>
    <row r="23" spans="1:6" x14ac:dyDescent="0.35">
      <c r="A23">
        <v>1022</v>
      </c>
      <c r="B23" t="s">
        <v>103</v>
      </c>
      <c r="C23" t="s">
        <v>77</v>
      </c>
      <c r="D23">
        <v>2</v>
      </c>
      <c r="E23" s="1">
        <v>45308</v>
      </c>
      <c r="F23">
        <v>650</v>
      </c>
    </row>
    <row r="24" spans="1:6" x14ac:dyDescent="0.35">
      <c r="A24">
        <v>1023</v>
      </c>
      <c r="B24" t="s">
        <v>104</v>
      </c>
      <c r="C24" t="s">
        <v>71</v>
      </c>
      <c r="D24">
        <v>1</v>
      </c>
      <c r="E24" s="1">
        <v>45309</v>
      </c>
      <c r="F24">
        <v>380</v>
      </c>
    </row>
    <row r="25" spans="1:6" x14ac:dyDescent="0.35">
      <c r="A25">
        <v>1024</v>
      </c>
      <c r="B25" t="s">
        <v>105</v>
      </c>
      <c r="C25" t="s">
        <v>69</v>
      </c>
      <c r="D25">
        <v>1</v>
      </c>
      <c r="E25" s="1">
        <v>45310</v>
      </c>
      <c r="F25">
        <v>13000</v>
      </c>
    </row>
    <row r="26" spans="1:6" x14ac:dyDescent="0.35">
      <c r="A26">
        <v>1025</v>
      </c>
      <c r="B26" t="s">
        <v>106</v>
      </c>
      <c r="C26" t="s">
        <v>107</v>
      </c>
      <c r="D26">
        <v>1</v>
      </c>
      <c r="E26" s="1">
        <v>45311</v>
      </c>
      <c r="F26">
        <v>200</v>
      </c>
    </row>
    <row r="27" spans="1:6" x14ac:dyDescent="0.35">
      <c r="A27">
        <v>1026</v>
      </c>
      <c r="B27" t="s">
        <v>108</v>
      </c>
      <c r="C27" t="s">
        <v>109</v>
      </c>
      <c r="D27">
        <v>1</v>
      </c>
      <c r="E27" s="1">
        <v>45312</v>
      </c>
      <c r="F27">
        <v>900</v>
      </c>
    </row>
    <row r="28" spans="1:6" x14ac:dyDescent="0.35">
      <c r="A28">
        <v>1027</v>
      </c>
      <c r="B28" t="s">
        <v>110</v>
      </c>
      <c r="C28" t="s">
        <v>86</v>
      </c>
      <c r="D28">
        <v>1</v>
      </c>
      <c r="E28" s="1">
        <v>45313</v>
      </c>
      <c r="F28">
        <v>900</v>
      </c>
    </row>
    <row r="29" spans="1:6" x14ac:dyDescent="0.35">
      <c r="A29">
        <v>1028</v>
      </c>
      <c r="B29" t="s">
        <v>111</v>
      </c>
      <c r="C29" t="s">
        <v>112</v>
      </c>
      <c r="D29">
        <v>5</v>
      </c>
      <c r="E29" s="1">
        <v>45314</v>
      </c>
      <c r="F29">
        <v>3000</v>
      </c>
    </row>
    <row r="30" spans="1:6" x14ac:dyDescent="0.35">
      <c r="A30">
        <v>1029</v>
      </c>
      <c r="B30" t="s">
        <v>113</v>
      </c>
      <c r="C30" t="s">
        <v>114</v>
      </c>
      <c r="D30">
        <v>1</v>
      </c>
      <c r="E30" s="1">
        <v>45315</v>
      </c>
      <c r="F30">
        <v>800</v>
      </c>
    </row>
    <row r="31" spans="1:6" x14ac:dyDescent="0.35">
      <c r="A31">
        <v>1030</v>
      </c>
      <c r="B31" t="s">
        <v>115</v>
      </c>
      <c r="C31" t="s">
        <v>116</v>
      </c>
      <c r="D31">
        <v>4</v>
      </c>
      <c r="E31" s="1">
        <v>45316</v>
      </c>
      <c r="F31">
        <v>900</v>
      </c>
    </row>
    <row r="32" spans="1:6" x14ac:dyDescent="0.35">
      <c r="A32">
        <v>1031</v>
      </c>
      <c r="B32" t="s">
        <v>117</v>
      </c>
      <c r="C32" t="s">
        <v>118</v>
      </c>
      <c r="D32">
        <v>1</v>
      </c>
      <c r="E32" s="1">
        <v>45317</v>
      </c>
      <c r="F32">
        <v>1800</v>
      </c>
    </row>
    <row r="33" spans="1:6" x14ac:dyDescent="0.35">
      <c r="A33">
        <v>1032</v>
      </c>
      <c r="B33" t="s">
        <v>119</v>
      </c>
      <c r="C33" t="s">
        <v>120</v>
      </c>
      <c r="D33">
        <v>2</v>
      </c>
      <c r="E33" s="1">
        <v>45318</v>
      </c>
      <c r="F33">
        <v>1000</v>
      </c>
    </row>
    <row r="34" spans="1:6" x14ac:dyDescent="0.35">
      <c r="A34">
        <v>1033</v>
      </c>
      <c r="B34" t="s">
        <v>121</v>
      </c>
      <c r="C34" t="s">
        <v>77</v>
      </c>
      <c r="D34">
        <v>1</v>
      </c>
      <c r="E34" s="1">
        <v>45318</v>
      </c>
      <c r="F34">
        <v>14000</v>
      </c>
    </row>
    <row r="35" spans="1:6" x14ac:dyDescent="0.35">
      <c r="A35">
        <v>1034</v>
      </c>
      <c r="B35" t="s">
        <v>122</v>
      </c>
      <c r="C35" t="s">
        <v>123</v>
      </c>
      <c r="D35">
        <v>2</v>
      </c>
      <c r="E35" s="1">
        <v>45319</v>
      </c>
      <c r="F35">
        <v>350</v>
      </c>
    </row>
    <row r="36" spans="1:6" x14ac:dyDescent="0.35">
      <c r="A36">
        <v>1035</v>
      </c>
      <c r="B36" t="s">
        <v>124</v>
      </c>
      <c r="C36" t="s">
        <v>77</v>
      </c>
      <c r="D36">
        <v>3</v>
      </c>
      <c r="E36" s="1">
        <v>45319</v>
      </c>
      <c r="F36">
        <v>200</v>
      </c>
    </row>
    <row r="37" spans="1:6" x14ac:dyDescent="0.35">
      <c r="A37">
        <v>1036</v>
      </c>
      <c r="B37" t="s">
        <v>125</v>
      </c>
      <c r="C37" t="s">
        <v>126</v>
      </c>
      <c r="D37">
        <v>2</v>
      </c>
      <c r="E37" s="1">
        <v>45320</v>
      </c>
      <c r="F37">
        <v>850</v>
      </c>
    </row>
    <row r="38" spans="1:6" x14ac:dyDescent="0.35">
      <c r="A38">
        <v>1037</v>
      </c>
      <c r="B38" t="s">
        <v>127</v>
      </c>
      <c r="C38" t="s">
        <v>128</v>
      </c>
      <c r="D38">
        <v>1</v>
      </c>
      <c r="E38" s="1">
        <v>45320</v>
      </c>
      <c r="F38">
        <v>900</v>
      </c>
    </row>
    <row r="39" spans="1:6" x14ac:dyDescent="0.35">
      <c r="A39">
        <v>1038</v>
      </c>
      <c r="B39" t="s">
        <v>129</v>
      </c>
      <c r="C39" t="s">
        <v>75</v>
      </c>
      <c r="D39">
        <v>1</v>
      </c>
      <c r="E39" s="1">
        <v>45321</v>
      </c>
      <c r="F39">
        <v>600</v>
      </c>
    </row>
    <row r="40" spans="1:6" x14ac:dyDescent="0.35">
      <c r="A40">
        <v>1039</v>
      </c>
      <c r="B40" t="s">
        <v>130</v>
      </c>
      <c r="C40" t="s">
        <v>77</v>
      </c>
      <c r="D40">
        <v>2</v>
      </c>
      <c r="E40" s="1">
        <v>45321</v>
      </c>
      <c r="F40">
        <v>900</v>
      </c>
    </row>
    <row r="41" spans="1:6" x14ac:dyDescent="0.35">
      <c r="A41">
        <v>1040</v>
      </c>
      <c r="B41" t="s">
        <v>131</v>
      </c>
      <c r="C41" t="s">
        <v>118</v>
      </c>
      <c r="D41">
        <v>1</v>
      </c>
      <c r="E41" s="1">
        <v>45322</v>
      </c>
      <c r="F41">
        <v>1900</v>
      </c>
    </row>
    <row r="42" spans="1:6" x14ac:dyDescent="0.35">
      <c r="A42">
        <v>1041</v>
      </c>
      <c r="B42" t="s">
        <v>68</v>
      </c>
      <c r="C42" t="s">
        <v>77</v>
      </c>
      <c r="D42">
        <v>1</v>
      </c>
      <c r="E42" s="1">
        <v>45323</v>
      </c>
      <c r="F42">
        <v>15000</v>
      </c>
    </row>
    <row r="43" spans="1:6" x14ac:dyDescent="0.35">
      <c r="A43">
        <v>1042</v>
      </c>
      <c r="B43" t="s">
        <v>70</v>
      </c>
      <c r="C43" t="s">
        <v>71</v>
      </c>
      <c r="D43">
        <v>1</v>
      </c>
      <c r="E43" s="1">
        <v>45324</v>
      </c>
      <c r="F43">
        <v>1200</v>
      </c>
    </row>
    <row r="44" spans="1:6" x14ac:dyDescent="0.35">
      <c r="A44">
        <v>1043</v>
      </c>
      <c r="B44" t="s">
        <v>72</v>
      </c>
      <c r="C44" t="s">
        <v>75</v>
      </c>
      <c r="D44">
        <v>2</v>
      </c>
      <c r="E44" s="1">
        <v>45325</v>
      </c>
      <c r="F44">
        <v>2000</v>
      </c>
    </row>
    <row r="45" spans="1:6" x14ac:dyDescent="0.35">
      <c r="A45">
        <v>1044</v>
      </c>
      <c r="B45" t="s">
        <v>74</v>
      </c>
      <c r="C45" t="s">
        <v>69</v>
      </c>
      <c r="D45">
        <v>1</v>
      </c>
      <c r="E45" s="1">
        <v>45326</v>
      </c>
      <c r="F45">
        <v>2000</v>
      </c>
    </row>
    <row r="46" spans="1:6" x14ac:dyDescent="0.35">
      <c r="A46">
        <v>1045</v>
      </c>
      <c r="B46" t="s">
        <v>76</v>
      </c>
      <c r="C46" t="s">
        <v>88</v>
      </c>
      <c r="D46">
        <v>1</v>
      </c>
      <c r="E46" s="1">
        <v>45327</v>
      </c>
      <c r="F46">
        <v>300</v>
      </c>
    </row>
    <row r="47" spans="1:6" x14ac:dyDescent="0.35">
      <c r="A47">
        <v>1046</v>
      </c>
      <c r="B47" t="s">
        <v>78</v>
      </c>
      <c r="C47" t="s">
        <v>79</v>
      </c>
      <c r="D47">
        <v>5</v>
      </c>
      <c r="E47" s="1">
        <v>45328</v>
      </c>
      <c r="F47">
        <v>2500</v>
      </c>
    </row>
    <row r="48" spans="1:6" x14ac:dyDescent="0.35">
      <c r="A48">
        <v>1047</v>
      </c>
      <c r="B48" t="s">
        <v>80</v>
      </c>
      <c r="C48" t="s">
        <v>91</v>
      </c>
      <c r="D48">
        <v>1</v>
      </c>
      <c r="E48" s="1">
        <v>45329</v>
      </c>
      <c r="F48">
        <v>800</v>
      </c>
    </row>
    <row r="49" spans="1:6" x14ac:dyDescent="0.35">
      <c r="A49">
        <v>1048</v>
      </c>
      <c r="B49" t="s">
        <v>82</v>
      </c>
      <c r="C49" t="s">
        <v>118</v>
      </c>
      <c r="D49">
        <v>1</v>
      </c>
      <c r="E49" s="1">
        <v>45330</v>
      </c>
      <c r="F49">
        <v>700</v>
      </c>
    </row>
    <row r="50" spans="1:6" x14ac:dyDescent="0.35">
      <c r="A50">
        <v>1049</v>
      </c>
      <c r="B50" t="s">
        <v>84</v>
      </c>
      <c r="C50" t="s">
        <v>81</v>
      </c>
      <c r="D50">
        <v>2</v>
      </c>
      <c r="E50" s="1">
        <v>45331</v>
      </c>
      <c r="F50">
        <v>800</v>
      </c>
    </row>
    <row r="51" spans="1:6" x14ac:dyDescent="0.35">
      <c r="A51">
        <v>1050</v>
      </c>
      <c r="B51" t="s">
        <v>85</v>
      </c>
      <c r="C51" t="s">
        <v>71</v>
      </c>
      <c r="D51">
        <v>1</v>
      </c>
      <c r="E51" s="1">
        <v>45332</v>
      </c>
      <c r="F51">
        <v>900</v>
      </c>
    </row>
    <row r="52" spans="1:6" x14ac:dyDescent="0.35">
      <c r="A52">
        <v>1051</v>
      </c>
      <c r="B52" t="s">
        <v>89</v>
      </c>
      <c r="C52" t="s">
        <v>112</v>
      </c>
      <c r="D52">
        <v>3</v>
      </c>
      <c r="E52" s="1">
        <v>45333</v>
      </c>
      <c r="F52">
        <v>1800</v>
      </c>
    </row>
    <row r="53" spans="1:6" x14ac:dyDescent="0.35">
      <c r="A53">
        <v>1052</v>
      </c>
      <c r="B53" t="s">
        <v>90</v>
      </c>
      <c r="C53" t="s">
        <v>86</v>
      </c>
      <c r="D53">
        <v>1</v>
      </c>
      <c r="E53" s="1">
        <v>45334</v>
      </c>
      <c r="F53">
        <v>1000</v>
      </c>
    </row>
    <row r="54" spans="1:6" x14ac:dyDescent="0.35">
      <c r="A54">
        <v>1053</v>
      </c>
      <c r="B54" t="s">
        <v>92</v>
      </c>
      <c r="C54" t="s">
        <v>77</v>
      </c>
      <c r="D54">
        <v>2</v>
      </c>
      <c r="E54" s="1">
        <v>45335</v>
      </c>
      <c r="F54">
        <v>14000</v>
      </c>
    </row>
    <row r="55" spans="1:6" x14ac:dyDescent="0.35">
      <c r="A55">
        <v>1054</v>
      </c>
      <c r="B55" t="s">
        <v>94</v>
      </c>
      <c r="C55" t="s">
        <v>96</v>
      </c>
      <c r="D55">
        <v>2</v>
      </c>
      <c r="E55" s="1">
        <v>45336</v>
      </c>
      <c r="F55">
        <v>350</v>
      </c>
    </row>
    <row r="56" spans="1:6" x14ac:dyDescent="0.35">
      <c r="A56">
        <v>1055</v>
      </c>
      <c r="B56" t="s">
        <v>95</v>
      </c>
      <c r="C56" t="s">
        <v>120</v>
      </c>
      <c r="D56">
        <v>2</v>
      </c>
      <c r="E56" s="1">
        <v>45337</v>
      </c>
      <c r="F56">
        <v>200</v>
      </c>
    </row>
    <row r="57" spans="1:6" x14ac:dyDescent="0.35">
      <c r="A57">
        <v>1056</v>
      </c>
      <c r="B57" t="s">
        <v>97</v>
      </c>
      <c r="C57" t="s">
        <v>77</v>
      </c>
      <c r="D57">
        <v>1</v>
      </c>
      <c r="E57" s="1">
        <v>45338</v>
      </c>
      <c r="F57">
        <v>850</v>
      </c>
    </row>
    <row r="58" spans="1:6" x14ac:dyDescent="0.35">
      <c r="A58">
        <v>1057</v>
      </c>
      <c r="B58" t="s">
        <v>99</v>
      </c>
      <c r="C58" t="s">
        <v>123</v>
      </c>
      <c r="D58">
        <v>3</v>
      </c>
      <c r="E58" s="1">
        <v>45339</v>
      </c>
      <c r="F58">
        <v>900</v>
      </c>
    </row>
    <row r="59" spans="1:6" x14ac:dyDescent="0.35">
      <c r="A59">
        <v>1058</v>
      </c>
      <c r="B59" t="s">
        <v>100</v>
      </c>
      <c r="C59" t="s">
        <v>71</v>
      </c>
      <c r="D59">
        <v>2</v>
      </c>
      <c r="E59" s="1">
        <v>45340</v>
      </c>
      <c r="F59">
        <v>600</v>
      </c>
    </row>
    <row r="60" spans="1:6" x14ac:dyDescent="0.35">
      <c r="A60">
        <v>1059</v>
      </c>
      <c r="B60" t="s">
        <v>101</v>
      </c>
      <c r="C60" t="s">
        <v>81</v>
      </c>
      <c r="D60">
        <v>1</v>
      </c>
      <c r="E60" s="1">
        <v>45341</v>
      </c>
      <c r="F60">
        <v>900</v>
      </c>
    </row>
    <row r="61" spans="1:6" x14ac:dyDescent="0.35">
      <c r="A61">
        <v>1060</v>
      </c>
      <c r="B61" t="s">
        <v>102</v>
      </c>
      <c r="C61" t="s">
        <v>79</v>
      </c>
      <c r="D61">
        <v>4</v>
      </c>
      <c r="E61" s="1">
        <v>45342</v>
      </c>
      <c r="F61">
        <v>1900</v>
      </c>
    </row>
    <row r="62" spans="1:6" x14ac:dyDescent="0.35">
      <c r="A62">
        <v>1061</v>
      </c>
      <c r="B62" t="s">
        <v>103</v>
      </c>
      <c r="C62" t="s">
        <v>69</v>
      </c>
      <c r="D62">
        <v>1</v>
      </c>
      <c r="E62" s="1">
        <v>45342</v>
      </c>
      <c r="F62">
        <v>15000</v>
      </c>
    </row>
    <row r="63" spans="1:6" x14ac:dyDescent="0.35">
      <c r="A63">
        <v>1062</v>
      </c>
      <c r="B63" t="s">
        <v>104</v>
      </c>
      <c r="C63" t="s">
        <v>107</v>
      </c>
      <c r="D63">
        <v>1</v>
      </c>
      <c r="E63" s="1">
        <v>45343</v>
      </c>
      <c r="F63">
        <v>1200</v>
      </c>
    </row>
    <row r="64" spans="1:6" x14ac:dyDescent="0.35">
      <c r="A64">
        <v>1063</v>
      </c>
      <c r="B64" t="s">
        <v>105</v>
      </c>
      <c r="C64" t="s">
        <v>128</v>
      </c>
      <c r="D64">
        <v>1</v>
      </c>
      <c r="E64" s="1">
        <v>45344</v>
      </c>
      <c r="F64">
        <v>2000</v>
      </c>
    </row>
    <row r="65" spans="1:6" x14ac:dyDescent="0.35">
      <c r="A65">
        <v>1064</v>
      </c>
      <c r="B65" t="s">
        <v>106</v>
      </c>
      <c r="C65" t="s">
        <v>77</v>
      </c>
      <c r="D65">
        <v>2</v>
      </c>
      <c r="E65" s="1">
        <v>45345</v>
      </c>
      <c r="F65">
        <v>2000</v>
      </c>
    </row>
    <row r="66" spans="1:6" x14ac:dyDescent="0.35">
      <c r="A66">
        <v>1065</v>
      </c>
      <c r="B66" t="s">
        <v>108</v>
      </c>
      <c r="C66" t="s">
        <v>120</v>
      </c>
      <c r="D66">
        <v>4</v>
      </c>
      <c r="E66" s="1">
        <v>45346</v>
      </c>
      <c r="F66">
        <v>300</v>
      </c>
    </row>
    <row r="67" spans="1:6" x14ac:dyDescent="0.35">
      <c r="A67">
        <v>1066</v>
      </c>
      <c r="B67" t="s">
        <v>110</v>
      </c>
      <c r="C67" t="s">
        <v>98</v>
      </c>
      <c r="D67">
        <v>2</v>
      </c>
      <c r="E67" s="1">
        <v>45347</v>
      </c>
      <c r="F67">
        <v>2500</v>
      </c>
    </row>
    <row r="68" spans="1:6" x14ac:dyDescent="0.35">
      <c r="A68">
        <v>1067</v>
      </c>
      <c r="B68" t="s">
        <v>111</v>
      </c>
      <c r="C68" t="s">
        <v>93</v>
      </c>
      <c r="D68">
        <v>1</v>
      </c>
      <c r="E68" s="1">
        <v>45348</v>
      </c>
      <c r="F68">
        <v>800</v>
      </c>
    </row>
    <row r="69" spans="1:6" x14ac:dyDescent="0.35">
      <c r="A69">
        <v>1068</v>
      </c>
      <c r="B69" t="s">
        <v>113</v>
      </c>
      <c r="C69" t="s">
        <v>91</v>
      </c>
      <c r="D69">
        <v>1</v>
      </c>
      <c r="E69" s="1">
        <v>45349</v>
      </c>
      <c r="F69">
        <v>700</v>
      </c>
    </row>
    <row r="70" spans="1:6" x14ac:dyDescent="0.35">
      <c r="A70">
        <v>1069</v>
      </c>
      <c r="B70" t="s">
        <v>115</v>
      </c>
      <c r="C70" t="s">
        <v>81</v>
      </c>
      <c r="D70">
        <v>2</v>
      </c>
      <c r="E70" s="1">
        <v>45350</v>
      </c>
      <c r="F70">
        <v>350</v>
      </c>
    </row>
    <row r="71" spans="1:6" x14ac:dyDescent="0.35">
      <c r="A71">
        <v>1070</v>
      </c>
      <c r="B71" t="s">
        <v>117</v>
      </c>
      <c r="C71" t="s">
        <v>118</v>
      </c>
      <c r="D71">
        <v>1</v>
      </c>
      <c r="E71" s="1">
        <v>45351</v>
      </c>
      <c r="F71">
        <v>200</v>
      </c>
    </row>
    <row r="72" spans="1:6" x14ac:dyDescent="0.35">
      <c r="A72">
        <v>1071</v>
      </c>
      <c r="B72" t="s">
        <v>119</v>
      </c>
      <c r="C72" t="s">
        <v>77</v>
      </c>
      <c r="D72">
        <v>1</v>
      </c>
      <c r="E72" s="1">
        <v>45352</v>
      </c>
      <c r="F72">
        <v>850</v>
      </c>
    </row>
    <row r="73" spans="1:6" x14ac:dyDescent="0.35">
      <c r="A73">
        <v>1072</v>
      </c>
      <c r="B73" t="s">
        <v>121</v>
      </c>
      <c r="C73" t="s">
        <v>75</v>
      </c>
      <c r="D73">
        <v>1</v>
      </c>
      <c r="E73" s="1">
        <v>45353</v>
      </c>
      <c r="F73">
        <v>900</v>
      </c>
    </row>
    <row r="74" spans="1:6" x14ac:dyDescent="0.35">
      <c r="A74">
        <v>1073</v>
      </c>
      <c r="B74" t="s">
        <v>122</v>
      </c>
      <c r="C74" t="s">
        <v>71</v>
      </c>
      <c r="D74">
        <v>2</v>
      </c>
      <c r="E74" s="1">
        <v>45354</v>
      </c>
      <c r="F74">
        <v>600</v>
      </c>
    </row>
    <row r="75" spans="1:6" x14ac:dyDescent="0.35">
      <c r="A75">
        <v>1074</v>
      </c>
      <c r="B75" t="s">
        <v>124</v>
      </c>
      <c r="C75" t="s">
        <v>77</v>
      </c>
      <c r="D75">
        <v>2</v>
      </c>
      <c r="E75" s="1">
        <v>45354</v>
      </c>
      <c r="F75">
        <v>900</v>
      </c>
    </row>
    <row r="76" spans="1:6" x14ac:dyDescent="0.35">
      <c r="A76">
        <v>1075</v>
      </c>
      <c r="B76" t="s">
        <v>125</v>
      </c>
      <c r="C76" t="s">
        <v>69</v>
      </c>
      <c r="D76">
        <v>1</v>
      </c>
      <c r="E76" s="1">
        <v>45355</v>
      </c>
      <c r="F76">
        <v>1900</v>
      </c>
    </row>
    <row r="77" spans="1:6" x14ac:dyDescent="0.35">
      <c r="A77">
        <v>1076</v>
      </c>
      <c r="B77" t="s">
        <v>127</v>
      </c>
      <c r="C77" t="s">
        <v>107</v>
      </c>
      <c r="D77">
        <v>1</v>
      </c>
      <c r="E77" s="1">
        <v>45356</v>
      </c>
      <c r="F77">
        <v>15000</v>
      </c>
    </row>
    <row r="78" spans="1:6" x14ac:dyDescent="0.35">
      <c r="A78">
        <v>1077</v>
      </c>
      <c r="B78" t="s">
        <v>129</v>
      </c>
      <c r="C78" t="s">
        <v>118</v>
      </c>
      <c r="D78">
        <v>1</v>
      </c>
      <c r="E78" s="1">
        <v>45357</v>
      </c>
      <c r="F78">
        <v>1200</v>
      </c>
    </row>
    <row r="79" spans="1:6" x14ac:dyDescent="0.35">
      <c r="A79">
        <v>1078</v>
      </c>
      <c r="B79" t="s">
        <v>130</v>
      </c>
      <c r="C79" t="s">
        <v>88</v>
      </c>
      <c r="D79">
        <v>1</v>
      </c>
      <c r="E79" s="1">
        <v>45358</v>
      </c>
      <c r="F79">
        <v>2000</v>
      </c>
    </row>
    <row r="80" spans="1:6" x14ac:dyDescent="0.35">
      <c r="A80">
        <v>1079</v>
      </c>
      <c r="B80" t="s">
        <v>131</v>
      </c>
      <c r="C80" t="s">
        <v>86</v>
      </c>
      <c r="D80">
        <v>2</v>
      </c>
      <c r="E80" s="1">
        <v>45359</v>
      </c>
      <c r="F80">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8709-229A-48DB-9884-CEDF68224ABD}">
  <dimension ref="A1:D31"/>
  <sheetViews>
    <sheetView workbookViewId="0">
      <selection activeCell="C24" sqref="C24"/>
    </sheetView>
  </sheetViews>
  <sheetFormatPr defaultRowHeight="14.5" x14ac:dyDescent="0.35"/>
  <cols>
    <col min="1" max="1" width="9.26953125" bestFit="1" customWidth="1"/>
    <col min="2" max="2" width="17.1796875" bestFit="1" customWidth="1"/>
    <col min="3" max="3" width="10.7265625" bestFit="1" customWidth="1"/>
    <col min="4" max="4" width="5.81640625" bestFit="1" customWidth="1"/>
  </cols>
  <sheetData>
    <row r="1" spans="1:4" x14ac:dyDescent="0.35">
      <c r="A1" t="s">
        <v>67</v>
      </c>
      <c r="B1" t="s">
        <v>4</v>
      </c>
      <c r="C1" t="s">
        <v>5</v>
      </c>
      <c r="D1" t="s">
        <v>6</v>
      </c>
    </row>
    <row r="2" spans="1:4" x14ac:dyDescent="0.35">
      <c r="A2" t="s">
        <v>69</v>
      </c>
      <c r="B2" t="s">
        <v>10</v>
      </c>
      <c r="C2" t="s">
        <v>11</v>
      </c>
      <c r="D2">
        <v>4500</v>
      </c>
    </row>
    <row r="3" spans="1:4" x14ac:dyDescent="0.35">
      <c r="A3" t="s">
        <v>83</v>
      </c>
      <c r="B3" t="s">
        <v>14</v>
      </c>
      <c r="C3" t="s">
        <v>11</v>
      </c>
      <c r="D3">
        <v>2999</v>
      </c>
    </row>
    <row r="4" spans="1:4" x14ac:dyDescent="0.35">
      <c r="A4" t="s">
        <v>77</v>
      </c>
      <c r="B4" t="s">
        <v>17</v>
      </c>
      <c r="C4" t="s">
        <v>18</v>
      </c>
      <c r="D4">
        <v>1999</v>
      </c>
    </row>
    <row r="5" spans="1:4" x14ac:dyDescent="0.35">
      <c r="A5" t="s">
        <v>79</v>
      </c>
      <c r="B5" t="s">
        <v>21</v>
      </c>
      <c r="C5" t="s">
        <v>18</v>
      </c>
      <c r="D5">
        <v>299</v>
      </c>
    </row>
    <row r="6" spans="1:4" x14ac:dyDescent="0.35">
      <c r="A6" t="s">
        <v>73</v>
      </c>
      <c r="B6" t="s">
        <v>23</v>
      </c>
      <c r="C6" t="s">
        <v>11</v>
      </c>
      <c r="D6">
        <v>92000</v>
      </c>
    </row>
    <row r="7" spans="1:4" x14ac:dyDescent="0.35">
      <c r="A7" t="s">
        <v>71</v>
      </c>
      <c r="B7" t="s">
        <v>25</v>
      </c>
      <c r="C7" t="s">
        <v>11</v>
      </c>
      <c r="D7">
        <v>3500</v>
      </c>
    </row>
    <row r="8" spans="1:4" x14ac:dyDescent="0.35">
      <c r="A8" t="s">
        <v>86</v>
      </c>
      <c r="B8" t="s">
        <v>27</v>
      </c>
      <c r="C8" t="s">
        <v>28</v>
      </c>
      <c r="D8">
        <v>5500</v>
      </c>
    </row>
    <row r="9" spans="1:4" x14ac:dyDescent="0.35">
      <c r="A9" t="s">
        <v>96</v>
      </c>
      <c r="B9" t="s">
        <v>30</v>
      </c>
      <c r="C9" t="s">
        <v>18</v>
      </c>
      <c r="D9">
        <v>899</v>
      </c>
    </row>
    <row r="10" spans="1:4" x14ac:dyDescent="0.35">
      <c r="A10" t="s">
        <v>75</v>
      </c>
      <c r="B10" t="s">
        <v>32</v>
      </c>
      <c r="C10" t="s">
        <v>11</v>
      </c>
      <c r="D10">
        <v>58000</v>
      </c>
    </row>
    <row r="11" spans="1:4" x14ac:dyDescent="0.35">
      <c r="A11" t="s">
        <v>112</v>
      </c>
      <c r="B11" t="s">
        <v>34</v>
      </c>
      <c r="C11" t="s">
        <v>18</v>
      </c>
      <c r="D11">
        <v>249</v>
      </c>
    </row>
    <row r="12" spans="1:4" x14ac:dyDescent="0.35">
      <c r="A12" t="s">
        <v>81</v>
      </c>
      <c r="B12" t="s">
        <v>36</v>
      </c>
      <c r="C12" t="s">
        <v>11</v>
      </c>
      <c r="D12">
        <v>4500</v>
      </c>
    </row>
    <row r="13" spans="1:4" x14ac:dyDescent="0.35">
      <c r="A13" t="s">
        <v>120</v>
      </c>
      <c r="B13" t="s">
        <v>132</v>
      </c>
      <c r="C13" t="s">
        <v>18</v>
      </c>
      <c r="D13">
        <v>799</v>
      </c>
    </row>
    <row r="14" spans="1:4" x14ac:dyDescent="0.35">
      <c r="A14" t="s">
        <v>133</v>
      </c>
      <c r="B14" t="s">
        <v>134</v>
      </c>
      <c r="C14" t="s">
        <v>18</v>
      </c>
      <c r="D14">
        <v>1199</v>
      </c>
    </row>
    <row r="15" spans="1:4" x14ac:dyDescent="0.35">
      <c r="A15" t="s">
        <v>88</v>
      </c>
      <c r="B15" t="s">
        <v>135</v>
      </c>
      <c r="C15" t="s">
        <v>28</v>
      </c>
      <c r="D15">
        <v>8500</v>
      </c>
    </row>
    <row r="16" spans="1:4" x14ac:dyDescent="0.35">
      <c r="A16" t="s">
        <v>93</v>
      </c>
      <c r="B16" t="s">
        <v>136</v>
      </c>
      <c r="C16" t="s">
        <v>11</v>
      </c>
      <c r="D16">
        <v>12500</v>
      </c>
    </row>
    <row r="17" spans="1:4" x14ac:dyDescent="0.35">
      <c r="A17" t="s">
        <v>137</v>
      </c>
      <c r="B17" t="s">
        <v>138</v>
      </c>
      <c r="C17" t="s">
        <v>18</v>
      </c>
      <c r="D17">
        <v>1299</v>
      </c>
    </row>
    <row r="18" spans="1:4" x14ac:dyDescent="0.35">
      <c r="A18" t="s">
        <v>98</v>
      </c>
      <c r="B18" t="s">
        <v>139</v>
      </c>
      <c r="C18" t="s">
        <v>18</v>
      </c>
      <c r="D18">
        <v>499</v>
      </c>
    </row>
    <row r="19" spans="1:4" x14ac:dyDescent="0.35">
      <c r="A19" t="s">
        <v>118</v>
      </c>
      <c r="B19" t="s">
        <v>140</v>
      </c>
      <c r="C19" t="s">
        <v>11</v>
      </c>
      <c r="D19">
        <v>1999</v>
      </c>
    </row>
    <row r="20" spans="1:4" x14ac:dyDescent="0.35">
      <c r="A20" t="s">
        <v>114</v>
      </c>
      <c r="B20" t="s">
        <v>141</v>
      </c>
      <c r="C20" t="s">
        <v>11</v>
      </c>
      <c r="D20">
        <v>2500</v>
      </c>
    </row>
    <row r="21" spans="1:4" x14ac:dyDescent="0.35">
      <c r="A21" t="s">
        <v>116</v>
      </c>
      <c r="B21" t="s">
        <v>142</v>
      </c>
      <c r="C21" t="s">
        <v>143</v>
      </c>
      <c r="D21">
        <v>450</v>
      </c>
    </row>
    <row r="22" spans="1:4" x14ac:dyDescent="0.35">
      <c r="A22" t="s">
        <v>126</v>
      </c>
      <c r="B22" t="s">
        <v>144</v>
      </c>
      <c r="C22" t="s">
        <v>145</v>
      </c>
      <c r="D22">
        <v>299</v>
      </c>
    </row>
    <row r="23" spans="1:4" x14ac:dyDescent="0.35">
      <c r="A23" t="s">
        <v>91</v>
      </c>
      <c r="B23" t="s">
        <v>146</v>
      </c>
      <c r="C23" t="s">
        <v>11</v>
      </c>
      <c r="D23">
        <v>799</v>
      </c>
    </row>
    <row r="24" spans="1:4" x14ac:dyDescent="0.35">
      <c r="A24" t="s">
        <v>147</v>
      </c>
      <c r="B24" t="s">
        <v>148</v>
      </c>
      <c r="C24" t="s">
        <v>11</v>
      </c>
      <c r="D24">
        <v>42000</v>
      </c>
    </row>
    <row r="25" spans="1:4" x14ac:dyDescent="0.35">
      <c r="A25" t="s">
        <v>107</v>
      </c>
      <c r="B25" t="s">
        <v>149</v>
      </c>
      <c r="C25" t="s">
        <v>18</v>
      </c>
      <c r="D25">
        <v>1299</v>
      </c>
    </row>
    <row r="26" spans="1:4" x14ac:dyDescent="0.35">
      <c r="A26" t="s">
        <v>123</v>
      </c>
      <c r="B26" t="s">
        <v>150</v>
      </c>
      <c r="C26" t="s">
        <v>18</v>
      </c>
      <c r="D26">
        <v>699</v>
      </c>
    </row>
    <row r="27" spans="1:4" x14ac:dyDescent="0.35">
      <c r="A27" t="s">
        <v>128</v>
      </c>
      <c r="B27" t="s">
        <v>151</v>
      </c>
      <c r="C27" t="s">
        <v>11</v>
      </c>
      <c r="D27">
        <v>899</v>
      </c>
    </row>
    <row r="28" spans="1:4" x14ac:dyDescent="0.35">
      <c r="A28" t="s">
        <v>152</v>
      </c>
      <c r="B28" t="s">
        <v>153</v>
      </c>
      <c r="C28" t="s">
        <v>18</v>
      </c>
      <c r="D28">
        <v>999</v>
      </c>
    </row>
    <row r="29" spans="1:4" x14ac:dyDescent="0.35">
      <c r="A29" t="s">
        <v>109</v>
      </c>
      <c r="B29" t="s">
        <v>154</v>
      </c>
      <c r="C29" t="s">
        <v>11</v>
      </c>
      <c r="D29">
        <v>9500</v>
      </c>
    </row>
    <row r="30" spans="1:4" x14ac:dyDescent="0.35">
      <c r="A30" t="s">
        <v>155</v>
      </c>
      <c r="B30" t="s">
        <v>156</v>
      </c>
      <c r="C30" t="s">
        <v>157</v>
      </c>
      <c r="D30">
        <v>299</v>
      </c>
    </row>
    <row r="31" spans="1:4" x14ac:dyDescent="0.35">
      <c r="A31" t="s">
        <v>158</v>
      </c>
      <c r="B31" t="s">
        <v>159</v>
      </c>
      <c r="C31" t="s">
        <v>157</v>
      </c>
      <c r="D31">
        <v>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3F63-E743-478E-929C-AE78C533BFB8}">
  <dimension ref="A1:C41"/>
  <sheetViews>
    <sheetView workbookViewId="0">
      <selection activeCell="B1" sqref="B1:C1"/>
    </sheetView>
  </sheetViews>
  <sheetFormatPr defaultRowHeight="14.5" x14ac:dyDescent="0.35"/>
  <cols>
    <col min="1" max="1" width="10.90625" bestFit="1" customWidth="1"/>
    <col min="2" max="2" width="17.26953125" bestFit="1" customWidth="1"/>
    <col min="3" max="3" width="6.81640625" bestFit="1" customWidth="1"/>
  </cols>
  <sheetData>
    <row r="1" spans="1:3" x14ac:dyDescent="0.35">
      <c r="A1" t="s">
        <v>66</v>
      </c>
      <c r="B1" t="s">
        <v>2</v>
      </c>
      <c r="C1" t="s">
        <v>3</v>
      </c>
    </row>
    <row r="2" spans="1:3" x14ac:dyDescent="0.35">
      <c r="A2" t="s">
        <v>68</v>
      </c>
      <c r="B2" t="s">
        <v>8</v>
      </c>
      <c r="C2" t="s">
        <v>9</v>
      </c>
    </row>
    <row r="3" spans="1:3" x14ac:dyDescent="0.35">
      <c r="A3" t="s">
        <v>70</v>
      </c>
      <c r="B3" t="s">
        <v>12</v>
      </c>
      <c r="C3" t="s">
        <v>13</v>
      </c>
    </row>
    <row r="4" spans="1:3" x14ac:dyDescent="0.35">
      <c r="A4" t="s">
        <v>72</v>
      </c>
      <c r="B4" t="s">
        <v>15</v>
      </c>
      <c r="C4" t="s">
        <v>16</v>
      </c>
    </row>
    <row r="5" spans="1:3" x14ac:dyDescent="0.35">
      <c r="A5" t="s">
        <v>74</v>
      </c>
      <c r="B5" t="s">
        <v>19</v>
      </c>
      <c r="C5" t="s">
        <v>20</v>
      </c>
    </row>
    <row r="6" spans="1:3" x14ac:dyDescent="0.35">
      <c r="A6" t="s">
        <v>76</v>
      </c>
      <c r="B6" t="s">
        <v>22</v>
      </c>
      <c r="C6" t="s">
        <v>9</v>
      </c>
    </row>
    <row r="7" spans="1:3" x14ac:dyDescent="0.35">
      <c r="A7" t="s">
        <v>78</v>
      </c>
      <c r="B7" t="s">
        <v>24</v>
      </c>
      <c r="C7" t="s">
        <v>13</v>
      </c>
    </row>
    <row r="8" spans="1:3" x14ac:dyDescent="0.35">
      <c r="A8" t="s">
        <v>80</v>
      </c>
      <c r="B8" t="s">
        <v>26</v>
      </c>
      <c r="C8" t="s">
        <v>16</v>
      </c>
    </row>
    <row r="9" spans="1:3" x14ac:dyDescent="0.35">
      <c r="A9" t="s">
        <v>82</v>
      </c>
      <c r="B9" t="s">
        <v>29</v>
      </c>
      <c r="C9" t="s">
        <v>20</v>
      </c>
    </row>
    <row r="10" spans="1:3" x14ac:dyDescent="0.35">
      <c r="A10" t="s">
        <v>84</v>
      </c>
      <c r="B10" t="s">
        <v>31</v>
      </c>
      <c r="C10" t="s">
        <v>9</v>
      </c>
    </row>
    <row r="11" spans="1:3" x14ac:dyDescent="0.35">
      <c r="A11" t="s">
        <v>85</v>
      </c>
      <c r="B11" t="s">
        <v>33</v>
      </c>
      <c r="C11" t="s">
        <v>13</v>
      </c>
    </row>
    <row r="12" spans="1:3" x14ac:dyDescent="0.35">
      <c r="A12" t="s">
        <v>87</v>
      </c>
      <c r="B12" t="s">
        <v>35</v>
      </c>
      <c r="C12" t="s">
        <v>16</v>
      </c>
    </row>
    <row r="13" spans="1:3" x14ac:dyDescent="0.35">
      <c r="A13" t="s">
        <v>89</v>
      </c>
      <c r="B13" t="s">
        <v>37</v>
      </c>
      <c r="C13" t="s">
        <v>20</v>
      </c>
    </row>
    <row r="14" spans="1:3" x14ac:dyDescent="0.35">
      <c r="A14" t="s">
        <v>90</v>
      </c>
      <c r="B14" t="s">
        <v>38</v>
      </c>
      <c r="C14" t="s">
        <v>9</v>
      </c>
    </row>
    <row r="15" spans="1:3" x14ac:dyDescent="0.35">
      <c r="A15" t="s">
        <v>92</v>
      </c>
      <c r="B15" t="s">
        <v>39</v>
      </c>
      <c r="C15" t="s">
        <v>13</v>
      </c>
    </row>
    <row r="16" spans="1:3" x14ac:dyDescent="0.35">
      <c r="A16" t="s">
        <v>94</v>
      </c>
      <c r="B16" t="s">
        <v>40</v>
      </c>
      <c r="C16" t="s">
        <v>16</v>
      </c>
    </row>
    <row r="17" spans="1:3" x14ac:dyDescent="0.35">
      <c r="A17" t="s">
        <v>95</v>
      </c>
      <c r="B17" t="s">
        <v>41</v>
      </c>
      <c r="C17" t="s">
        <v>20</v>
      </c>
    </row>
    <row r="18" spans="1:3" x14ac:dyDescent="0.35">
      <c r="A18" t="s">
        <v>97</v>
      </c>
      <c r="B18" t="s">
        <v>42</v>
      </c>
      <c r="C18" t="s">
        <v>9</v>
      </c>
    </row>
    <row r="19" spans="1:3" x14ac:dyDescent="0.35">
      <c r="A19" t="s">
        <v>99</v>
      </c>
      <c r="B19" t="s">
        <v>43</v>
      </c>
      <c r="C19" t="s">
        <v>13</v>
      </c>
    </row>
    <row r="20" spans="1:3" x14ac:dyDescent="0.35">
      <c r="A20" t="s">
        <v>100</v>
      </c>
      <c r="B20" t="s">
        <v>44</v>
      </c>
      <c r="C20" t="s">
        <v>16</v>
      </c>
    </row>
    <row r="21" spans="1:3" x14ac:dyDescent="0.35">
      <c r="A21" t="s">
        <v>101</v>
      </c>
      <c r="B21" t="s">
        <v>45</v>
      </c>
      <c r="C21" t="s">
        <v>20</v>
      </c>
    </row>
    <row r="22" spans="1:3" x14ac:dyDescent="0.35">
      <c r="A22" t="s">
        <v>102</v>
      </c>
      <c r="B22" t="s">
        <v>46</v>
      </c>
      <c r="C22" t="s">
        <v>9</v>
      </c>
    </row>
    <row r="23" spans="1:3" x14ac:dyDescent="0.35">
      <c r="A23" t="s">
        <v>103</v>
      </c>
      <c r="B23" t="s">
        <v>47</v>
      </c>
      <c r="C23" t="s">
        <v>13</v>
      </c>
    </row>
    <row r="24" spans="1:3" x14ac:dyDescent="0.35">
      <c r="A24" t="s">
        <v>104</v>
      </c>
      <c r="B24" t="s">
        <v>48</v>
      </c>
      <c r="C24" t="s">
        <v>16</v>
      </c>
    </row>
    <row r="25" spans="1:3" x14ac:dyDescent="0.35">
      <c r="A25" t="s">
        <v>105</v>
      </c>
      <c r="B25" t="s">
        <v>49</v>
      </c>
      <c r="C25" t="s">
        <v>20</v>
      </c>
    </row>
    <row r="26" spans="1:3" x14ac:dyDescent="0.35">
      <c r="A26" t="s">
        <v>106</v>
      </c>
      <c r="B26" t="s">
        <v>50</v>
      </c>
      <c r="C26" t="s">
        <v>9</v>
      </c>
    </row>
    <row r="27" spans="1:3" x14ac:dyDescent="0.35">
      <c r="A27" t="s">
        <v>108</v>
      </c>
      <c r="B27" t="s">
        <v>51</v>
      </c>
      <c r="C27" t="s">
        <v>13</v>
      </c>
    </row>
    <row r="28" spans="1:3" x14ac:dyDescent="0.35">
      <c r="A28" t="s">
        <v>110</v>
      </c>
      <c r="B28" t="s">
        <v>52</v>
      </c>
      <c r="C28" t="s">
        <v>16</v>
      </c>
    </row>
    <row r="29" spans="1:3" x14ac:dyDescent="0.35">
      <c r="A29" t="s">
        <v>111</v>
      </c>
      <c r="B29" t="s">
        <v>53</v>
      </c>
      <c r="C29" t="s">
        <v>20</v>
      </c>
    </row>
    <row r="30" spans="1:3" x14ac:dyDescent="0.35">
      <c r="A30" t="s">
        <v>113</v>
      </c>
      <c r="B30" t="s">
        <v>54</v>
      </c>
      <c r="C30" t="s">
        <v>9</v>
      </c>
    </row>
    <row r="31" spans="1:3" x14ac:dyDescent="0.35">
      <c r="A31" t="s">
        <v>115</v>
      </c>
      <c r="B31" t="s">
        <v>55</v>
      </c>
      <c r="C31" t="s">
        <v>13</v>
      </c>
    </row>
    <row r="32" spans="1:3" x14ac:dyDescent="0.35">
      <c r="A32" t="s">
        <v>117</v>
      </c>
      <c r="B32" t="s">
        <v>56</v>
      </c>
      <c r="C32" t="s">
        <v>16</v>
      </c>
    </row>
    <row r="33" spans="1:3" x14ac:dyDescent="0.35">
      <c r="A33" t="s">
        <v>119</v>
      </c>
      <c r="B33" t="s">
        <v>57</v>
      </c>
      <c r="C33" t="s">
        <v>20</v>
      </c>
    </row>
    <row r="34" spans="1:3" x14ac:dyDescent="0.35">
      <c r="A34" t="s">
        <v>121</v>
      </c>
      <c r="B34" t="s">
        <v>58</v>
      </c>
      <c r="C34" t="s">
        <v>9</v>
      </c>
    </row>
    <row r="35" spans="1:3" x14ac:dyDescent="0.35">
      <c r="A35" t="s">
        <v>122</v>
      </c>
      <c r="B35" t="s">
        <v>59</v>
      </c>
      <c r="C35" t="s">
        <v>13</v>
      </c>
    </row>
    <row r="36" spans="1:3" x14ac:dyDescent="0.35">
      <c r="A36" t="s">
        <v>124</v>
      </c>
      <c r="B36" t="s">
        <v>60</v>
      </c>
      <c r="C36" t="s">
        <v>16</v>
      </c>
    </row>
    <row r="37" spans="1:3" x14ac:dyDescent="0.35">
      <c r="A37" t="s">
        <v>125</v>
      </c>
      <c r="B37" t="s">
        <v>61</v>
      </c>
      <c r="C37" t="s">
        <v>20</v>
      </c>
    </row>
    <row r="38" spans="1:3" x14ac:dyDescent="0.35">
      <c r="A38" t="s">
        <v>127</v>
      </c>
      <c r="B38" t="s">
        <v>62</v>
      </c>
      <c r="C38" t="s">
        <v>9</v>
      </c>
    </row>
    <row r="39" spans="1:3" x14ac:dyDescent="0.35">
      <c r="A39" t="s">
        <v>129</v>
      </c>
      <c r="B39" t="s">
        <v>63</v>
      </c>
      <c r="C39" t="s">
        <v>13</v>
      </c>
    </row>
    <row r="40" spans="1:3" x14ac:dyDescent="0.35">
      <c r="A40" t="s">
        <v>130</v>
      </c>
      <c r="B40" t="s">
        <v>64</v>
      </c>
      <c r="C40" t="s">
        <v>16</v>
      </c>
    </row>
    <row r="41" spans="1:3" x14ac:dyDescent="0.35">
      <c r="A41" t="s">
        <v>131</v>
      </c>
      <c r="B41" t="s">
        <v>65</v>
      </c>
      <c r="C41"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3D35-081D-4C55-968C-2AB0733AC2BE}">
  <dimension ref="A1:Q80"/>
  <sheetViews>
    <sheetView zoomScale="83" workbookViewId="0">
      <selection activeCell="P7" sqref="P7"/>
    </sheetView>
  </sheetViews>
  <sheetFormatPr defaultRowHeight="14.5" x14ac:dyDescent="0.35"/>
  <cols>
    <col min="1" max="1" width="9.54296875" customWidth="1"/>
    <col min="2" max="2" width="12.7265625" customWidth="1"/>
    <col min="3" max="3" width="11.08984375" customWidth="1"/>
    <col min="4" max="4" width="10" customWidth="1"/>
    <col min="5" max="5" width="11.6328125" customWidth="1"/>
    <col min="7" max="7" width="15.81640625" customWidth="1"/>
    <col min="8" max="8" width="10.1796875" customWidth="1"/>
    <col min="9" max="9" width="16.7265625" bestFit="1" customWidth="1"/>
    <col min="10" max="10" width="12.7265625" customWidth="1"/>
    <col min="11" max="11" width="10.6328125" customWidth="1"/>
    <col min="12" max="12" width="12.90625" bestFit="1" customWidth="1"/>
    <col min="13" max="13" width="13.26953125" customWidth="1"/>
    <col min="14" max="14" width="10.54296875" customWidth="1"/>
  </cols>
  <sheetData>
    <row r="1" spans="1:17" x14ac:dyDescent="0.35">
      <c r="A1" t="s">
        <v>0</v>
      </c>
      <c r="B1" t="s">
        <v>66</v>
      </c>
      <c r="C1" t="s">
        <v>67</v>
      </c>
      <c r="D1" t="s">
        <v>7</v>
      </c>
      <c r="E1" t="s">
        <v>1</v>
      </c>
      <c r="F1" t="s">
        <v>160</v>
      </c>
      <c r="G1" t="s">
        <v>2</v>
      </c>
      <c r="H1" t="s">
        <v>3</v>
      </c>
      <c r="I1" t="s">
        <v>4</v>
      </c>
      <c r="J1" t="s">
        <v>5</v>
      </c>
      <c r="K1" t="s">
        <v>6</v>
      </c>
      <c r="L1" t="s">
        <v>161</v>
      </c>
      <c r="M1" t="s">
        <v>162</v>
      </c>
      <c r="N1" t="s">
        <v>163</v>
      </c>
      <c r="O1" t="s">
        <v>164</v>
      </c>
      <c r="P1" t="s">
        <v>165</v>
      </c>
      <c r="Q1" t="s">
        <v>165</v>
      </c>
    </row>
    <row r="2" spans="1:17" x14ac:dyDescent="0.35">
      <c r="A2">
        <v>1001</v>
      </c>
      <c r="B2" t="s">
        <v>68</v>
      </c>
      <c r="C2" t="s">
        <v>69</v>
      </c>
      <c r="D2">
        <v>2</v>
      </c>
      <c r="E2" s="1">
        <v>45293</v>
      </c>
      <c r="F2">
        <v>1800</v>
      </c>
      <c r="G2" t="str">
        <f>VLOOKUP(project!$B2,Customer!$A$1:$C$41,MATCH(Customer!B$1,Customer!$A$1:$C$1,0),FALSE)</f>
        <v>Rohit Sharma</v>
      </c>
      <c r="H2" t="str">
        <f>VLOOKUP(project!$B2,Customer!$A$1:$C$41,MATCH(Customer!C$1,Customer!$A$1:$C$1,0),FALSE)</f>
        <v>North</v>
      </c>
      <c r="I2" t="str">
        <f>VLOOKUP(project!$C2,Product_table!$A$1:$D$31,MATCH(Product_table!B$1,Product_table!$A$1:$D$1,0))</f>
        <v>Amazon Echo Dot</v>
      </c>
      <c r="J2" t="str">
        <f>VLOOKUP(project!$C2,Product_table!$A$1:$D$31,MATCH(Product_table!C$1,Product_table!$A$1:$D$1,0))</f>
        <v>Electronics</v>
      </c>
      <c r="K2">
        <f>VLOOKUP(project!$C2,Product_table!$A$1:$D$31,MATCH(Product_table!D$1,Product_table!$A$1:$D$1,0))</f>
        <v>4500</v>
      </c>
      <c r="L2">
        <f>Table2[[#This Row],[Price]]*Table2[[#This Row],[Quantity]]</f>
        <v>9000</v>
      </c>
      <c r="M2">
        <f>Table2[[#This Row],[Profit]]/Table2[[#This Row],[Salse]]</f>
        <v>0.2</v>
      </c>
      <c r="N2">
        <f>YEAR(Table2[[#This Row],[OrderDate]])</f>
        <v>2024</v>
      </c>
      <c r="O2">
        <f>MONTH(Table2[[#This Row],[OrderDate]])</f>
        <v>1</v>
      </c>
      <c r="P2" t="str">
        <f>TEXT(Table2[[#This Row],[OrderDate]],"mmm")</f>
        <v>Jan</v>
      </c>
    </row>
    <row r="3" spans="1:17" x14ac:dyDescent="0.35">
      <c r="A3">
        <v>1002</v>
      </c>
      <c r="B3" t="s">
        <v>70</v>
      </c>
      <c r="C3" t="s">
        <v>71</v>
      </c>
      <c r="D3">
        <v>1</v>
      </c>
      <c r="E3" s="1">
        <v>45294</v>
      </c>
      <c r="F3">
        <v>700</v>
      </c>
      <c r="G3" t="str">
        <f>VLOOKUP(project!$B3,Customer!$A$1:$C$41,MATCH(Customer!B$1,Customer!$A$1:$C$1,0),FALSE)</f>
        <v>Neha Verma</v>
      </c>
      <c r="H3" t="str">
        <f>VLOOKUP(project!$B3,Customer!$A$1:$C$41,MATCH(Customer!C$1,Customer!$A$1:$C$1,0),FALSE)</f>
        <v>South</v>
      </c>
      <c r="I3" t="str">
        <f>VLOOKUP(project!$C3,Product_table!$A$1:$D$31,MATCH(Product_table!B$1,Product_table!$A$1:$D$1,0))</f>
        <v>Boat Speakers</v>
      </c>
      <c r="J3" t="str">
        <f>VLOOKUP(project!$C3,Product_table!$A$1:$D$31,MATCH(Product_table!C$1,Product_table!$A$1:$D$1,0))</f>
        <v>Electronics</v>
      </c>
      <c r="K3">
        <f>VLOOKUP(project!$C3,Product_table!$A$1:$D$31,MATCH(Product_table!D$1,Product_table!$A$1:$D$1,0))</f>
        <v>3500</v>
      </c>
      <c r="L3">
        <f>Table2[[#This Row],[Price]]*Table2[[#This Row],[Quantity]]</f>
        <v>3500</v>
      </c>
      <c r="M3">
        <f>Table2[[#This Row],[Profit]]/Table2[[#This Row],[Salse]]</f>
        <v>0.2</v>
      </c>
      <c r="N3">
        <f>YEAR(Table2[[#This Row],[OrderDate]])</f>
        <v>2024</v>
      </c>
      <c r="O3">
        <f>MONTH(Table2[[#This Row],[OrderDate]])</f>
        <v>1</v>
      </c>
      <c r="P3" t="str">
        <f>TEXT(Table2[[#This Row],[OrderDate]],"mmm")</f>
        <v>Jan</v>
      </c>
    </row>
    <row r="4" spans="1:17" x14ac:dyDescent="0.35">
      <c r="A4">
        <v>1003</v>
      </c>
      <c r="B4" t="s">
        <v>72</v>
      </c>
      <c r="C4" t="s">
        <v>73</v>
      </c>
      <c r="D4">
        <v>1</v>
      </c>
      <c r="E4" s="1">
        <v>45295</v>
      </c>
      <c r="F4">
        <v>1500</v>
      </c>
      <c r="G4" t="str">
        <f>VLOOKUP(project!$B4,Customer!$A$1:$C$41,MATCH(Customer!B$1,Customer!$A$1:$C$1,0),FALSE)</f>
        <v>Aman Gupta</v>
      </c>
      <c r="H4" t="str">
        <f>VLOOKUP(project!$B4,Customer!$A$1:$C$41,MATCH(Customer!C$1,Customer!$A$1:$C$1,0),FALSE)</f>
        <v>West</v>
      </c>
      <c r="I4" t="str">
        <f>VLOOKUP(project!$C4,Product_table!$A$1:$D$31,MATCH(Product_table!B$1,Product_table!$A$1:$D$1,0))</f>
        <v>Apple MacBook Air</v>
      </c>
      <c r="J4" t="str">
        <f>VLOOKUP(project!$C4,Product_table!$A$1:$D$31,MATCH(Product_table!C$1,Product_table!$A$1:$D$1,0))</f>
        <v>Electronics</v>
      </c>
      <c r="K4">
        <f>VLOOKUP(project!$C4,Product_table!$A$1:$D$31,MATCH(Product_table!D$1,Product_table!$A$1:$D$1,0))</f>
        <v>92000</v>
      </c>
      <c r="L4">
        <f>Table2[[#This Row],[Price]]*Table2[[#This Row],[Quantity]]</f>
        <v>92000</v>
      </c>
      <c r="M4">
        <f>Table2[[#This Row],[Profit]]/Table2[[#This Row],[Salse]]</f>
        <v>1.6304347826086956E-2</v>
      </c>
      <c r="N4">
        <f>YEAR(Table2[[#This Row],[OrderDate]])</f>
        <v>2024</v>
      </c>
      <c r="O4">
        <f>MONTH(Table2[[#This Row],[OrderDate]])</f>
        <v>1</v>
      </c>
      <c r="P4" t="str">
        <f>TEXT(Table2[[#This Row],[OrderDate]],"mmm")</f>
        <v>Jan</v>
      </c>
    </row>
    <row r="5" spans="1:17" x14ac:dyDescent="0.35">
      <c r="A5">
        <v>1004</v>
      </c>
      <c r="B5" t="s">
        <v>74</v>
      </c>
      <c r="C5" t="s">
        <v>75</v>
      </c>
      <c r="D5">
        <v>1</v>
      </c>
      <c r="E5" s="1">
        <v>45296</v>
      </c>
      <c r="F5">
        <v>300</v>
      </c>
      <c r="G5" t="str">
        <f>VLOOKUP(project!$B5,Customer!$A$1:$C$41,MATCH(Customer!B$1,Customer!$A$1:$C$1,0),FALSE)</f>
        <v>Pooja Patil</v>
      </c>
      <c r="H5" t="str">
        <f>VLOOKUP(project!$B5,Customer!$A$1:$C$41,MATCH(Customer!C$1,Customer!$A$1:$C$1,0),FALSE)</f>
        <v>East</v>
      </c>
      <c r="I5" t="str">
        <f>VLOOKUP(project!$C5,Product_table!$A$1:$D$31,MATCH(Product_table!B$1,Product_table!$A$1:$D$1,0))</f>
        <v>HP Laptop 15</v>
      </c>
      <c r="J5" t="str">
        <f>VLOOKUP(project!$C5,Product_table!$A$1:$D$31,MATCH(Product_table!C$1,Product_table!$A$1:$D$1,0))</f>
        <v>Electronics</v>
      </c>
      <c r="K5">
        <f>VLOOKUP(project!$C5,Product_table!$A$1:$D$31,MATCH(Product_table!D$1,Product_table!$A$1:$D$1,0))</f>
        <v>58000</v>
      </c>
      <c r="L5">
        <f>Table2[[#This Row],[Price]]*Table2[[#This Row],[Quantity]]</f>
        <v>58000</v>
      </c>
      <c r="M5">
        <f>Table2[[#This Row],[Profit]]/Table2[[#This Row],[Salse]]</f>
        <v>5.1724137931034482E-3</v>
      </c>
      <c r="N5">
        <f>YEAR(Table2[[#This Row],[OrderDate]])</f>
        <v>2024</v>
      </c>
      <c r="O5">
        <f>MONTH(Table2[[#This Row],[OrderDate]])</f>
        <v>1</v>
      </c>
      <c r="P5" t="str">
        <f>TEXT(Table2[[#This Row],[OrderDate]],"mmm")</f>
        <v>Jan</v>
      </c>
    </row>
    <row r="6" spans="1:17" x14ac:dyDescent="0.35">
      <c r="A6">
        <v>1005</v>
      </c>
      <c r="B6" t="s">
        <v>76</v>
      </c>
      <c r="C6" t="s">
        <v>77</v>
      </c>
      <c r="D6">
        <v>3</v>
      </c>
      <c r="E6" s="1">
        <v>45297</v>
      </c>
      <c r="F6">
        <v>18000</v>
      </c>
      <c r="G6" t="str">
        <f>VLOOKUP(project!$B6,Customer!$A$1:$C$41,MATCH(Customer!B$1,Customer!$A$1:$C$1,0),FALSE)</f>
        <v>Ali Khan</v>
      </c>
      <c r="H6" t="str">
        <f>VLOOKUP(project!$B6,Customer!$A$1:$C$41,MATCH(Customer!C$1,Customer!$A$1:$C$1,0),FALSE)</f>
        <v>North</v>
      </c>
      <c r="I6" t="str">
        <f>VLOOKUP(project!$C6,Product_table!$A$1:$D$31,MATCH(Product_table!B$1,Product_table!$A$1:$D$1,0))</f>
        <v>Noise Headphones</v>
      </c>
      <c r="J6" t="str">
        <f>VLOOKUP(project!$C6,Product_table!$A$1:$D$31,MATCH(Product_table!C$1,Product_table!$A$1:$D$1,0))</f>
        <v>Accessories</v>
      </c>
      <c r="K6">
        <f>VLOOKUP(project!$C6,Product_table!$A$1:$D$31,MATCH(Product_table!D$1,Product_table!$A$1:$D$1,0))</f>
        <v>1999</v>
      </c>
      <c r="L6">
        <f>Table2[[#This Row],[Price]]*Table2[[#This Row],[Quantity]]</f>
        <v>5997</v>
      </c>
      <c r="M6">
        <f>Table2[[#This Row],[Profit]]/Table2[[#This Row],[Salse]]</f>
        <v>3.0015007503751874</v>
      </c>
      <c r="N6">
        <f>YEAR(Table2[[#This Row],[OrderDate]])</f>
        <v>2024</v>
      </c>
      <c r="O6">
        <f>MONTH(Table2[[#This Row],[OrderDate]])</f>
        <v>1</v>
      </c>
      <c r="P6" t="str">
        <f>TEXT(Table2[[#This Row],[OrderDate]],"mmm")</f>
        <v>Jan</v>
      </c>
    </row>
    <row r="7" spans="1:17" x14ac:dyDescent="0.35">
      <c r="A7">
        <v>1006</v>
      </c>
      <c r="B7" t="s">
        <v>78</v>
      </c>
      <c r="C7" t="s">
        <v>79</v>
      </c>
      <c r="D7">
        <v>4</v>
      </c>
      <c r="E7" s="1">
        <v>45297</v>
      </c>
      <c r="F7">
        <v>1600</v>
      </c>
      <c r="G7" t="str">
        <f>VLOOKUP(project!$B7,Customer!$A$1:$C$41,MATCH(Customer!B$1,Customer!$A$1:$C$1,0),FALSE)</f>
        <v>Sonali Desai</v>
      </c>
      <c r="H7" t="str">
        <f>VLOOKUP(project!$B7,Customer!$A$1:$C$41,MATCH(Customer!C$1,Customer!$A$1:$C$1,0),FALSE)</f>
        <v>South</v>
      </c>
      <c r="I7" t="str">
        <f>VLOOKUP(project!$C7,Product_table!$A$1:$D$31,MATCH(Product_table!B$1,Product_table!$A$1:$D$1,0))</f>
        <v>Mobile Back Cover</v>
      </c>
      <c r="J7" t="str">
        <f>VLOOKUP(project!$C7,Product_table!$A$1:$D$31,MATCH(Product_table!C$1,Product_table!$A$1:$D$1,0))</f>
        <v>Accessories</v>
      </c>
      <c r="K7">
        <f>VLOOKUP(project!$C7,Product_table!$A$1:$D$31,MATCH(Product_table!D$1,Product_table!$A$1:$D$1,0))</f>
        <v>299</v>
      </c>
      <c r="L7">
        <f>Table2[[#This Row],[Price]]*Table2[[#This Row],[Quantity]]</f>
        <v>1196</v>
      </c>
      <c r="M7">
        <f>Table2[[#This Row],[Profit]]/Table2[[#This Row],[Salse]]</f>
        <v>1.3377926421404682</v>
      </c>
      <c r="N7">
        <f>YEAR(Table2[[#This Row],[OrderDate]])</f>
        <v>2024</v>
      </c>
      <c r="O7">
        <f>MONTH(Table2[[#This Row],[OrderDate]])</f>
        <v>1</v>
      </c>
      <c r="P7" t="str">
        <f>TEXT(Table2[[#This Row],[OrderDate]],"mmm")</f>
        <v>Jan</v>
      </c>
    </row>
    <row r="8" spans="1:17" x14ac:dyDescent="0.35">
      <c r="A8">
        <v>1007</v>
      </c>
      <c r="B8" t="s">
        <v>80</v>
      </c>
      <c r="C8" t="s">
        <v>81</v>
      </c>
      <c r="D8">
        <v>1</v>
      </c>
      <c r="E8" s="1">
        <v>45298</v>
      </c>
      <c r="F8">
        <v>900</v>
      </c>
      <c r="G8" t="str">
        <f>VLOOKUP(project!$B8,Customer!$A$1:$C$41,MATCH(Customer!B$1,Customer!$A$1:$C$1,0),FALSE)</f>
        <v>Manish Jain</v>
      </c>
      <c r="H8" t="str">
        <f>VLOOKUP(project!$B8,Customer!$A$1:$C$41,MATCH(Customer!C$1,Customer!$A$1:$C$1,0),FALSE)</f>
        <v>West</v>
      </c>
      <c r="I8" t="str">
        <f>VLOOKUP(project!$C8,Product_table!$A$1:$D$31,MATCH(Product_table!B$1,Product_table!$A$1:$D$1,0))</f>
        <v>Smartwatch Pro</v>
      </c>
      <c r="J8" t="str">
        <f>VLOOKUP(project!$C8,Product_table!$A$1:$D$31,MATCH(Product_table!C$1,Product_table!$A$1:$D$1,0))</f>
        <v>Electronics</v>
      </c>
      <c r="K8">
        <f>VLOOKUP(project!$C8,Product_table!$A$1:$D$31,MATCH(Product_table!D$1,Product_table!$A$1:$D$1,0))</f>
        <v>4500</v>
      </c>
      <c r="L8">
        <f>Table2[[#This Row],[Price]]*Table2[[#This Row],[Quantity]]</f>
        <v>4500</v>
      </c>
      <c r="M8">
        <f>Table2[[#This Row],[Profit]]/Table2[[#This Row],[Salse]]</f>
        <v>0.2</v>
      </c>
      <c r="N8">
        <f>YEAR(Table2[[#This Row],[OrderDate]])</f>
        <v>2024</v>
      </c>
      <c r="O8">
        <f>MONTH(Table2[[#This Row],[OrderDate]])</f>
        <v>1</v>
      </c>
      <c r="P8" t="str">
        <f>TEXT(Table2[[#This Row],[OrderDate]],"mmm")</f>
        <v>Jan</v>
      </c>
    </row>
    <row r="9" spans="1:17" x14ac:dyDescent="0.35">
      <c r="A9">
        <v>1008</v>
      </c>
      <c r="B9" t="s">
        <v>82</v>
      </c>
      <c r="C9" t="s">
        <v>83</v>
      </c>
      <c r="D9">
        <v>2</v>
      </c>
      <c r="E9" s="1">
        <v>45298</v>
      </c>
      <c r="F9">
        <v>700</v>
      </c>
      <c r="G9" t="str">
        <f>VLOOKUP(project!$B9,Customer!$A$1:$C$41,MATCH(Customer!B$1,Customer!$A$1:$C$1,0),FALSE)</f>
        <v>Asha Singh</v>
      </c>
      <c r="H9" t="str">
        <f>VLOOKUP(project!$B9,Customer!$A$1:$C$41,MATCH(Customer!C$1,Customer!$A$1:$C$1,0),FALSE)</f>
        <v>East</v>
      </c>
      <c r="I9" t="str">
        <f>VLOOKUP(project!$C9,Product_table!$A$1:$D$31,MATCH(Product_table!B$1,Product_table!$A$1:$D$1,0))</f>
        <v>Fire TV Stick</v>
      </c>
      <c r="J9" t="str">
        <f>VLOOKUP(project!$C9,Product_table!$A$1:$D$31,MATCH(Product_table!C$1,Product_table!$A$1:$D$1,0))</f>
        <v>Electronics</v>
      </c>
      <c r="K9">
        <f>VLOOKUP(project!$C9,Product_table!$A$1:$D$31,MATCH(Product_table!D$1,Product_table!$A$1:$D$1,0))</f>
        <v>2999</v>
      </c>
      <c r="L9">
        <f>Table2[[#This Row],[Price]]*Table2[[#This Row],[Quantity]]</f>
        <v>5998</v>
      </c>
      <c r="M9">
        <f>Table2[[#This Row],[Profit]]/Table2[[#This Row],[Salse]]</f>
        <v>0.11670556852284095</v>
      </c>
      <c r="N9">
        <f>YEAR(Table2[[#This Row],[OrderDate]])</f>
        <v>2024</v>
      </c>
      <c r="O9">
        <f>MONTH(Table2[[#This Row],[OrderDate]])</f>
        <v>1</v>
      </c>
      <c r="P9" t="str">
        <f>TEXT(Table2[[#This Row],[OrderDate]],"mmm")</f>
        <v>Jan</v>
      </c>
    </row>
    <row r="10" spans="1:17" x14ac:dyDescent="0.35">
      <c r="A10">
        <v>1009</v>
      </c>
      <c r="B10" t="s">
        <v>84</v>
      </c>
      <c r="C10" t="s">
        <v>77</v>
      </c>
      <c r="D10">
        <v>1</v>
      </c>
      <c r="E10" s="1">
        <v>45299</v>
      </c>
      <c r="F10">
        <v>12000</v>
      </c>
      <c r="G10" t="str">
        <f>VLOOKUP(project!$B10,Customer!$A$1:$C$41,MATCH(Customer!B$1,Customer!$A$1:$C$1,0),FALSE)</f>
        <v>Varun Mehta</v>
      </c>
      <c r="H10" t="str">
        <f>VLOOKUP(project!$B10,Customer!$A$1:$C$41,MATCH(Customer!C$1,Customer!$A$1:$C$1,0),FALSE)</f>
        <v>North</v>
      </c>
      <c r="I10" t="str">
        <f>VLOOKUP(project!$C10,Product_table!$A$1:$D$31,MATCH(Product_table!B$1,Product_table!$A$1:$D$1,0))</f>
        <v>Noise Headphones</v>
      </c>
      <c r="J10" t="str">
        <f>VLOOKUP(project!$C10,Product_table!$A$1:$D$31,MATCH(Product_table!C$1,Product_table!$A$1:$D$1,0))</f>
        <v>Accessories</v>
      </c>
      <c r="K10">
        <f>VLOOKUP(project!$C10,Product_table!$A$1:$D$31,MATCH(Product_table!D$1,Product_table!$A$1:$D$1,0))</f>
        <v>1999</v>
      </c>
      <c r="L10">
        <f>Table2[[#This Row],[Price]]*Table2[[#This Row],[Quantity]]</f>
        <v>1999</v>
      </c>
      <c r="M10">
        <f>Table2[[#This Row],[Profit]]/Table2[[#This Row],[Salse]]</f>
        <v>6.0030015007503748</v>
      </c>
      <c r="N10">
        <f>YEAR(Table2[[#This Row],[OrderDate]])</f>
        <v>2024</v>
      </c>
      <c r="O10">
        <f>MONTH(Table2[[#This Row],[OrderDate]])</f>
        <v>1</v>
      </c>
      <c r="P10" t="str">
        <f>TEXT(Table2[[#This Row],[OrderDate]],"mmm")</f>
        <v>Jan</v>
      </c>
    </row>
    <row r="11" spans="1:17" x14ac:dyDescent="0.35">
      <c r="A11">
        <v>1010</v>
      </c>
      <c r="B11" t="s">
        <v>85</v>
      </c>
      <c r="C11" t="s">
        <v>86</v>
      </c>
      <c r="D11">
        <v>1</v>
      </c>
      <c r="E11" s="1">
        <v>45299</v>
      </c>
      <c r="F11">
        <v>300</v>
      </c>
      <c r="G11" t="str">
        <f>VLOOKUP(project!$B11,Customer!$A$1:$C$41,MATCH(Customer!B$1,Customer!$A$1:$C$1,0),FALSE)</f>
        <v>Deepa Reddy</v>
      </c>
      <c r="H11" t="str">
        <f>VLOOKUP(project!$B11,Customer!$A$1:$C$41,MATCH(Customer!C$1,Customer!$A$1:$C$1,0),FALSE)</f>
        <v>South</v>
      </c>
      <c r="I11" t="str">
        <f>VLOOKUP(project!$C11,Product_table!$A$1:$D$31,MATCH(Product_table!B$1,Product_table!$A$1:$D$1,0))</f>
        <v>Comfort Chair</v>
      </c>
      <c r="J11" t="str">
        <f>VLOOKUP(project!$C11,Product_table!$A$1:$D$31,MATCH(Product_table!C$1,Product_table!$A$1:$D$1,0))</f>
        <v>Furniture</v>
      </c>
      <c r="K11">
        <f>VLOOKUP(project!$C11,Product_table!$A$1:$D$31,MATCH(Product_table!D$1,Product_table!$A$1:$D$1,0))</f>
        <v>5500</v>
      </c>
      <c r="L11">
        <f>Table2[[#This Row],[Price]]*Table2[[#This Row],[Quantity]]</f>
        <v>5500</v>
      </c>
      <c r="M11">
        <f>Table2[[#This Row],[Profit]]/Table2[[#This Row],[Salse]]</f>
        <v>5.4545454545454543E-2</v>
      </c>
      <c r="N11">
        <f>YEAR(Table2[[#This Row],[OrderDate]])</f>
        <v>2024</v>
      </c>
      <c r="O11">
        <f>MONTH(Table2[[#This Row],[OrderDate]])</f>
        <v>1</v>
      </c>
      <c r="P11" t="str">
        <f>TEXT(Table2[[#This Row],[OrderDate]],"mmm")</f>
        <v>Jan</v>
      </c>
    </row>
    <row r="12" spans="1:17" x14ac:dyDescent="0.35">
      <c r="A12">
        <v>1011</v>
      </c>
      <c r="B12" t="s">
        <v>87</v>
      </c>
      <c r="C12" t="s">
        <v>88</v>
      </c>
      <c r="D12">
        <v>1</v>
      </c>
      <c r="E12" s="1">
        <v>45300</v>
      </c>
      <c r="F12">
        <v>1800</v>
      </c>
      <c r="G12" t="str">
        <f>VLOOKUP(project!$B12,Customer!$A$1:$C$41,MATCH(Customer!B$1,Customer!$A$1:$C$1,0),FALSE)</f>
        <v>Riya Kapoor</v>
      </c>
      <c r="H12" t="str">
        <f>VLOOKUP(project!$B12,Customer!$A$1:$C$41,MATCH(Customer!C$1,Customer!$A$1:$C$1,0),FALSE)</f>
        <v>West</v>
      </c>
      <c r="I12" t="str">
        <f>VLOOKUP(project!$C12,Product_table!$A$1:$D$31,MATCH(Product_table!B$1,Product_table!$A$1:$D$1,0))</f>
        <v>Office Desk</v>
      </c>
      <c r="J12" t="str">
        <f>VLOOKUP(project!$C12,Product_table!$A$1:$D$31,MATCH(Product_table!C$1,Product_table!$A$1:$D$1,0))</f>
        <v>Furniture</v>
      </c>
      <c r="K12">
        <f>VLOOKUP(project!$C12,Product_table!$A$1:$D$31,MATCH(Product_table!D$1,Product_table!$A$1:$D$1,0))</f>
        <v>8500</v>
      </c>
      <c r="L12">
        <f>Table2[[#This Row],[Price]]*Table2[[#This Row],[Quantity]]</f>
        <v>8500</v>
      </c>
      <c r="M12">
        <f>Table2[[#This Row],[Profit]]/Table2[[#This Row],[Salse]]</f>
        <v>0.21176470588235294</v>
      </c>
      <c r="N12">
        <f>YEAR(Table2[[#This Row],[OrderDate]])</f>
        <v>2024</v>
      </c>
      <c r="O12">
        <f>MONTH(Table2[[#This Row],[OrderDate]])</f>
        <v>1</v>
      </c>
      <c r="P12" t="str">
        <f>TEXT(Table2[[#This Row],[OrderDate]],"mmm")</f>
        <v>Jan</v>
      </c>
    </row>
    <row r="13" spans="1:17" x14ac:dyDescent="0.35">
      <c r="A13">
        <v>1012</v>
      </c>
      <c r="B13" t="s">
        <v>89</v>
      </c>
      <c r="C13" t="s">
        <v>77</v>
      </c>
      <c r="D13">
        <v>2</v>
      </c>
      <c r="E13" s="1">
        <v>45301</v>
      </c>
      <c r="F13">
        <v>900</v>
      </c>
      <c r="G13" t="str">
        <f>VLOOKUP(project!$B13,Customer!$A$1:$C$41,MATCH(Customer!B$1,Customer!$A$1:$C$1,0),FALSE)</f>
        <v>Rajat Singh</v>
      </c>
      <c r="H13" t="str">
        <f>VLOOKUP(project!$B13,Customer!$A$1:$C$41,MATCH(Customer!C$1,Customer!$A$1:$C$1,0),FALSE)</f>
        <v>East</v>
      </c>
      <c r="I13" t="str">
        <f>VLOOKUP(project!$C13,Product_table!$A$1:$D$31,MATCH(Product_table!B$1,Product_table!$A$1:$D$1,0))</f>
        <v>Noise Headphones</v>
      </c>
      <c r="J13" t="str">
        <f>VLOOKUP(project!$C13,Product_table!$A$1:$D$31,MATCH(Product_table!C$1,Product_table!$A$1:$D$1,0))</f>
        <v>Accessories</v>
      </c>
      <c r="K13">
        <f>VLOOKUP(project!$C13,Product_table!$A$1:$D$31,MATCH(Product_table!D$1,Product_table!$A$1:$D$1,0))</f>
        <v>1999</v>
      </c>
      <c r="L13">
        <f>Table2[[#This Row],[Price]]*Table2[[#This Row],[Quantity]]</f>
        <v>3998</v>
      </c>
      <c r="M13">
        <f>Table2[[#This Row],[Profit]]/Table2[[#This Row],[Salse]]</f>
        <v>0.22511255627813906</v>
      </c>
      <c r="N13">
        <f>YEAR(Table2[[#This Row],[OrderDate]])</f>
        <v>2024</v>
      </c>
      <c r="O13">
        <f>MONTH(Table2[[#This Row],[OrderDate]])</f>
        <v>1</v>
      </c>
      <c r="P13" t="str">
        <f>TEXT(Table2[[#This Row],[OrderDate]],"mmm")</f>
        <v>Jan</v>
      </c>
    </row>
    <row r="14" spans="1:17" x14ac:dyDescent="0.35">
      <c r="A14">
        <v>1013</v>
      </c>
      <c r="B14" t="s">
        <v>90</v>
      </c>
      <c r="C14" t="s">
        <v>91</v>
      </c>
      <c r="D14">
        <v>1</v>
      </c>
      <c r="E14" s="1">
        <v>45301</v>
      </c>
      <c r="F14">
        <v>1400</v>
      </c>
      <c r="G14" t="str">
        <f>VLOOKUP(project!$B14,Customer!$A$1:$C$41,MATCH(Customer!B$1,Customer!$A$1:$C$1,0),FALSE)</f>
        <v>Shruti Nair</v>
      </c>
      <c r="H14" t="str">
        <f>VLOOKUP(project!$B14,Customer!$A$1:$C$41,MATCH(Customer!C$1,Customer!$A$1:$C$1,0),FALSE)</f>
        <v>North</v>
      </c>
      <c r="I14" t="str">
        <f>VLOOKUP(project!$C14,Product_table!$A$1:$D$31,MATCH(Product_table!B$1,Product_table!$A$1:$D$1,0))</f>
        <v>Pen Drive 64GB</v>
      </c>
      <c r="J14" t="str">
        <f>VLOOKUP(project!$C14,Product_table!$A$1:$D$31,MATCH(Product_table!C$1,Product_table!$A$1:$D$1,0))</f>
        <v>Electronics</v>
      </c>
      <c r="K14">
        <f>VLOOKUP(project!$C14,Product_table!$A$1:$D$31,MATCH(Product_table!D$1,Product_table!$A$1:$D$1,0))</f>
        <v>799</v>
      </c>
      <c r="L14">
        <f>Table2[[#This Row],[Price]]*Table2[[#This Row],[Quantity]]</f>
        <v>799</v>
      </c>
      <c r="M14">
        <f>Table2[[#This Row],[Profit]]/Table2[[#This Row],[Salse]]</f>
        <v>1.7521902377972465</v>
      </c>
      <c r="N14">
        <f>YEAR(Table2[[#This Row],[OrderDate]])</f>
        <v>2024</v>
      </c>
      <c r="O14">
        <f>MONTH(Table2[[#This Row],[OrderDate]])</f>
        <v>1</v>
      </c>
      <c r="P14" t="str">
        <f>TEXT(Table2[[#This Row],[OrderDate]],"mmm")</f>
        <v>Jan</v>
      </c>
    </row>
    <row r="15" spans="1:17" x14ac:dyDescent="0.35">
      <c r="A15">
        <v>1014</v>
      </c>
      <c r="B15" t="s">
        <v>92</v>
      </c>
      <c r="C15" t="s">
        <v>93</v>
      </c>
      <c r="D15">
        <v>1</v>
      </c>
      <c r="E15" s="1">
        <v>45302</v>
      </c>
      <c r="F15">
        <v>450</v>
      </c>
      <c r="G15" t="str">
        <f>VLOOKUP(project!$B15,Customer!$A$1:$C$41,MATCH(Customer!B$1,Customer!$A$1:$C$1,0),FALSE)</f>
        <v>Aadil Khan</v>
      </c>
      <c r="H15" t="str">
        <f>VLOOKUP(project!$B15,Customer!$A$1:$C$41,MATCH(Customer!C$1,Customer!$A$1:$C$1,0),FALSE)</f>
        <v>South</v>
      </c>
      <c r="I15" t="str">
        <f>VLOOKUP(project!$C15,Product_table!$A$1:$D$31,MATCH(Product_table!B$1,Product_table!$A$1:$D$1,0))</f>
        <v>LED Monitor</v>
      </c>
      <c r="J15" t="str">
        <f>VLOOKUP(project!$C15,Product_table!$A$1:$D$31,MATCH(Product_table!C$1,Product_table!$A$1:$D$1,0))</f>
        <v>Electronics</v>
      </c>
      <c r="K15">
        <f>VLOOKUP(project!$C15,Product_table!$A$1:$D$31,MATCH(Product_table!D$1,Product_table!$A$1:$D$1,0))</f>
        <v>12500</v>
      </c>
      <c r="L15">
        <f>Table2[[#This Row],[Price]]*Table2[[#This Row],[Quantity]]</f>
        <v>12500</v>
      </c>
      <c r="M15">
        <f>Table2[[#This Row],[Profit]]/Table2[[#This Row],[Salse]]</f>
        <v>3.5999999999999997E-2</v>
      </c>
      <c r="N15">
        <f>YEAR(Table2[[#This Row],[OrderDate]])</f>
        <v>2024</v>
      </c>
      <c r="O15">
        <f>MONTH(Table2[[#This Row],[OrderDate]])</f>
        <v>1</v>
      </c>
      <c r="P15" t="str">
        <f>TEXT(Table2[[#This Row],[OrderDate]],"mmm")</f>
        <v>Jan</v>
      </c>
    </row>
    <row r="16" spans="1:17" x14ac:dyDescent="0.35">
      <c r="A16">
        <v>1015</v>
      </c>
      <c r="B16" t="s">
        <v>94</v>
      </c>
      <c r="C16" t="s">
        <v>69</v>
      </c>
      <c r="D16">
        <v>2</v>
      </c>
      <c r="E16" s="1">
        <v>45302</v>
      </c>
      <c r="F16">
        <v>400</v>
      </c>
      <c r="G16" t="str">
        <f>VLOOKUP(project!$B16,Customer!$A$1:$C$41,MATCH(Customer!B$1,Customer!$A$1:$C$1,0),FALSE)</f>
        <v>Monica Shah</v>
      </c>
      <c r="H16" t="str">
        <f>VLOOKUP(project!$B16,Customer!$A$1:$C$41,MATCH(Customer!C$1,Customer!$A$1:$C$1,0),FALSE)</f>
        <v>West</v>
      </c>
      <c r="I16" t="str">
        <f>VLOOKUP(project!$C16,Product_table!$A$1:$D$31,MATCH(Product_table!B$1,Product_table!$A$1:$D$1,0))</f>
        <v>Amazon Echo Dot</v>
      </c>
      <c r="J16" t="str">
        <f>VLOOKUP(project!$C16,Product_table!$A$1:$D$31,MATCH(Product_table!C$1,Product_table!$A$1:$D$1,0))</f>
        <v>Electronics</v>
      </c>
      <c r="K16">
        <f>VLOOKUP(project!$C16,Product_table!$A$1:$D$31,MATCH(Product_table!D$1,Product_table!$A$1:$D$1,0))</f>
        <v>4500</v>
      </c>
      <c r="L16">
        <f>Table2[[#This Row],[Price]]*Table2[[#This Row],[Quantity]]</f>
        <v>9000</v>
      </c>
      <c r="M16">
        <f>Table2[[#This Row],[Profit]]/Table2[[#This Row],[Salse]]</f>
        <v>4.4444444444444446E-2</v>
      </c>
      <c r="N16">
        <f>YEAR(Table2[[#This Row],[OrderDate]])</f>
        <v>2024</v>
      </c>
      <c r="O16">
        <f>MONTH(Table2[[#This Row],[OrderDate]])</f>
        <v>1</v>
      </c>
      <c r="P16" t="str">
        <f>TEXT(Table2[[#This Row],[OrderDate]],"mmm")</f>
        <v>Jan</v>
      </c>
    </row>
    <row r="17" spans="1:16" x14ac:dyDescent="0.35">
      <c r="A17">
        <v>1016</v>
      </c>
      <c r="B17" t="s">
        <v>95</v>
      </c>
      <c r="C17" t="s">
        <v>96</v>
      </c>
      <c r="D17">
        <v>3</v>
      </c>
      <c r="E17" s="1">
        <v>45303</v>
      </c>
      <c r="F17">
        <v>500</v>
      </c>
      <c r="G17" t="str">
        <f>VLOOKUP(project!$B17,Customer!$A$1:$C$41,MATCH(Customer!B$1,Customer!$A$1:$C$1,0),FALSE)</f>
        <v>Rahul Jain</v>
      </c>
      <c r="H17" t="str">
        <f>VLOOKUP(project!$B17,Customer!$A$1:$C$41,MATCH(Customer!C$1,Customer!$A$1:$C$1,0),FALSE)</f>
        <v>East</v>
      </c>
      <c r="I17" t="str">
        <f>VLOOKUP(project!$C17,Product_table!$A$1:$D$31,MATCH(Product_table!B$1,Product_table!$A$1:$D$1,0))</f>
        <v>Laptop Stand</v>
      </c>
      <c r="J17" t="str">
        <f>VLOOKUP(project!$C17,Product_table!$A$1:$D$31,MATCH(Product_table!C$1,Product_table!$A$1:$D$1,0))</f>
        <v>Accessories</v>
      </c>
      <c r="K17">
        <f>VLOOKUP(project!$C17,Product_table!$A$1:$D$31,MATCH(Product_table!D$1,Product_table!$A$1:$D$1,0))</f>
        <v>899</v>
      </c>
      <c r="L17">
        <f>Table2[[#This Row],[Price]]*Table2[[#This Row],[Quantity]]</f>
        <v>2697</v>
      </c>
      <c r="M17">
        <f>Table2[[#This Row],[Profit]]/Table2[[#This Row],[Salse]]</f>
        <v>0.1853911753800519</v>
      </c>
      <c r="N17">
        <f>YEAR(Table2[[#This Row],[OrderDate]])</f>
        <v>2024</v>
      </c>
      <c r="O17">
        <f>MONTH(Table2[[#This Row],[OrderDate]])</f>
        <v>1</v>
      </c>
      <c r="P17" t="str">
        <f>TEXT(Table2[[#This Row],[OrderDate]],"mmm")</f>
        <v>Jan</v>
      </c>
    </row>
    <row r="18" spans="1:16" x14ac:dyDescent="0.35">
      <c r="A18">
        <v>1017</v>
      </c>
      <c r="B18" t="s">
        <v>97</v>
      </c>
      <c r="C18" t="s">
        <v>98</v>
      </c>
      <c r="D18">
        <v>4</v>
      </c>
      <c r="E18" s="1">
        <v>45303</v>
      </c>
      <c r="F18">
        <v>11000</v>
      </c>
      <c r="G18" t="str">
        <f>VLOOKUP(project!$B18,Customer!$A$1:$C$41,MATCH(Customer!B$1,Customer!$A$1:$C$1,0),FALSE)</f>
        <v>Jyoti Patil</v>
      </c>
      <c r="H18" t="str">
        <f>VLOOKUP(project!$B18,Customer!$A$1:$C$41,MATCH(Customer!C$1,Customer!$A$1:$C$1,0),FALSE)</f>
        <v>North</v>
      </c>
      <c r="I18" t="str">
        <f>VLOOKUP(project!$C18,Product_table!$A$1:$D$31,MATCH(Product_table!B$1,Product_table!$A$1:$D$1,0))</f>
        <v>Tripod Stand</v>
      </c>
      <c r="J18" t="str">
        <f>VLOOKUP(project!$C18,Product_table!$A$1:$D$31,MATCH(Product_table!C$1,Product_table!$A$1:$D$1,0))</f>
        <v>Accessories</v>
      </c>
      <c r="K18">
        <f>VLOOKUP(project!$C18,Product_table!$A$1:$D$31,MATCH(Product_table!D$1,Product_table!$A$1:$D$1,0))</f>
        <v>499</v>
      </c>
      <c r="L18">
        <f>Table2[[#This Row],[Price]]*Table2[[#This Row],[Quantity]]</f>
        <v>1996</v>
      </c>
      <c r="M18">
        <f>Table2[[#This Row],[Profit]]/Table2[[#This Row],[Salse]]</f>
        <v>5.5110220440881763</v>
      </c>
      <c r="N18">
        <f>YEAR(Table2[[#This Row],[OrderDate]])</f>
        <v>2024</v>
      </c>
      <c r="O18">
        <f>MONTH(Table2[[#This Row],[OrderDate]])</f>
        <v>1</v>
      </c>
      <c r="P18" t="str">
        <f>TEXT(Table2[[#This Row],[OrderDate]],"mmm")</f>
        <v>Jan</v>
      </c>
    </row>
    <row r="19" spans="1:16" x14ac:dyDescent="0.35">
      <c r="A19">
        <v>1018</v>
      </c>
      <c r="B19" t="s">
        <v>99</v>
      </c>
      <c r="C19" t="s">
        <v>77</v>
      </c>
      <c r="D19">
        <v>1</v>
      </c>
      <c r="E19" s="1">
        <v>45304</v>
      </c>
      <c r="F19">
        <v>950</v>
      </c>
      <c r="G19" t="str">
        <f>VLOOKUP(project!$B19,Customer!$A$1:$C$41,MATCH(Customer!B$1,Customer!$A$1:$C$1,0),FALSE)</f>
        <v>Harish Kumar</v>
      </c>
      <c r="H19" t="str">
        <f>VLOOKUP(project!$B19,Customer!$A$1:$C$41,MATCH(Customer!C$1,Customer!$A$1:$C$1,0),FALSE)</f>
        <v>South</v>
      </c>
      <c r="I19" t="str">
        <f>VLOOKUP(project!$C19,Product_table!$A$1:$D$31,MATCH(Product_table!B$1,Product_table!$A$1:$D$1,0))</f>
        <v>Noise Headphones</v>
      </c>
      <c r="J19" t="str">
        <f>VLOOKUP(project!$C19,Product_table!$A$1:$D$31,MATCH(Product_table!C$1,Product_table!$A$1:$D$1,0))</f>
        <v>Accessories</v>
      </c>
      <c r="K19">
        <f>VLOOKUP(project!$C19,Product_table!$A$1:$D$31,MATCH(Product_table!D$1,Product_table!$A$1:$D$1,0))</f>
        <v>1999</v>
      </c>
      <c r="L19">
        <f>Table2[[#This Row],[Price]]*Table2[[#This Row],[Quantity]]</f>
        <v>1999</v>
      </c>
      <c r="M19">
        <f>Table2[[#This Row],[Profit]]/Table2[[#This Row],[Salse]]</f>
        <v>0.47523761880940468</v>
      </c>
      <c r="N19">
        <f>YEAR(Table2[[#This Row],[OrderDate]])</f>
        <v>2024</v>
      </c>
      <c r="O19">
        <f>MONTH(Table2[[#This Row],[OrderDate]])</f>
        <v>1</v>
      </c>
      <c r="P19" t="str">
        <f>TEXT(Table2[[#This Row],[OrderDate]],"mmm")</f>
        <v>Jan</v>
      </c>
    </row>
    <row r="20" spans="1:16" x14ac:dyDescent="0.35">
      <c r="A20">
        <v>1019</v>
      </c>
      <c r="B20" t="s">
        <v>100</v>
      </c>
      <c r="C20" t="s">
        <v>81</v>
      </c>
      <c r="D20">
        <v>1</v>
      </c>
      <c r="E20" s="1">
        <v>45305</v>
      </c>
      <c r="F20">
        <v>2600</v>
      </c>
      <c r="G20" t="str">
        <f>VLOOKUP(project!$B20,Customer!$A$1:$C$41,MATCH(Customer!B$1,Customer!$A$1:$C$1,0),FALSE)</f>
        <v>Ananya Rao</v>
      </c>
      <c r="H20" t="str">
        <f>VLOOKUP(project!$B20,Customer!$A$1:$C$41,MATCH(Customer!C$1,Customer!$A$1:$C$1,0),FALSE)</f>
        <v>West</v>
      </c>
      <c r="I20" t="str">
        <f>VLOOKUP(project!$C20,Product_table!$A$1:$D$31,MATCH(Product_table!B$1,Product_table!$A$1:$D$1,0))</f>
        <v>Smartwatch Pro</v>
      </c>
      <c r="J20" t="str">
        <f>VLOOKUP(project!$C20,Product_table!$A$1:$D$31,MATCH(Product_table!C$1,Product_table!$A$1:$D$1,0))</f>
        <v>Electronics</v>
      </c>
      <c r="K20">
        <f>VLOOKUP(project!$C20,Product_table!$A$1:$D$31,MATCH(Product_table!D$1,Product_table!$A$1:$D$1,0))</f>
        <v>4500</v>
      </c>
      <c r="L20">
        <f>Table2[[#This Row],[Price]]*Table2[[#This Row],[Quantity]]</f>
        <v>4500</v>
      </c>
      <c r="M20">
        <f>Table2[[#This Row],[Profit]]/Table2[[#This Row],[Salse]]</f>
        <v>0.57777777777777772</v>
      </c>
      <c r="N20">
        <f>YEAR(Table2[[#This Row],[OrderDate]])</f>
        <v>2024</v>
      </c>
      <c r="O20">
        <f>MONTH(Table2[[#This Row],[OrderDate]])</f>
        <v>1</v>
      </c>
      <c r="P20" t="str">
        <f>TEXT(Table2[[#This Row],[OrderDate]],"mmm")</f>
        <v>Jan</v>
      </c>
    </row>
    <row r="21" spans="1:16" x14ac:dyDescent="0.35">
      <c r="A21">
        <v>1020</v>
      </c>
      <c r="B21" t="s">
        <v>101</v>
      </c>
      <c r="C21" t="s">
        <v>75</v>
      </c>
      <c r="D21">
        <v>1</v>
      </c>
      <c r="E21" s="1">
        <v>45306</v>
      </c>
      <c r="F21">
        <v>1000</v>
      </c>
      <c r="G21" t="str">
        <f>VLOOKUP(project!$B21,Customer!$A$1:$C$41,MATCH(Customer!B$1,Customer!$A$1:$C$1,0),FALSE)</f>
        <v>Sanjay Gupta</v>
      </c>
      <c r="H21" t="str">
        <f>VLOOKUP(project!$B21,Customer!$A$1:$C$41,MATCH(Customer!C$1,Customer!$A$1:$C$1,0),FALSE)</f>
        <v>East</v>
      </c>
      <c r="I21" t="str">
        <f>VLOOKUP(project!$C21,Product_table!$A$1:$D$31,MATCH(Product_table!B$1,Product_table!$A$1:$D$1,0))</f>
        <v>HP Laptop 15</v>
      </c>
      <c r="J21" t="str">
        <f>VLOOKUP(project!$C21,Product_table!$A$1:$D$31,MATCH(Product_table!C$1,Product_table!$A$1:$D$1,0))</f>
        <v>Electronics</v>
      </c>
      <c r="K21">
        <f>VLOOKUP(project!$C21,Product_table!$A$1:$D$31,MATCH(Product_table!D$1,Product_table!$A$1:$D$1,0))</f>
        <v>58000</v>
      </c>
      <c r="L21">
        <f>Table2[[#This Row],[Price]]*Table2[[#This Row],[Quantity]]</f>
        <v>58000</v>
      </c>
      <c r="M21">
        <f>Table2[[#This Row],[Profit]]/Table2[[#This Row],[Salse]]</f>
        <v>1.7241379310344827E-2</v>
      </c>
      <c r="N21">
        <f>YEAR(Table2[[#This Row],[OrderDate]])</f>
        <v>2024</v>
      </c>
      <c r="O21">
        <f>MONTH(Table2[[#This Row],[OrderDate]])</f>
        <v>1</v>
      </c>
      <c r="P21" t="str">
        <f>TEXT(Table2[[#This Row],[OrderDate]],"mmm")</f>
        <v>Jan</v>
      </c>
    </row>
    <row r="22" spans="1:16" x14ac:dyDescent="0.35">
      <c r="A22">
        <v>1021</v>
      </c>
      <c r="B22" t="s">
        <v>102</v>
      </c>
      <c r="C22" t="s">
        <v>83</v>
      </c>
      <c r="D22">
        <v>3</v>
      </c>
      <c r="E22" s="1">
        <v>45307</v>
      </c>
      <c r="F22">
        <v>2200</v>
      </c>
      <c r="G22" t="str">
        <f>VLOOKUP(project!$B22,Customer!$A$1:$C$41,MATCH(Customer!B$1,Customer!$A$1:$C$1,0),FALSE)</f>
        <v>Kunal Shah</v>
      </c>
      <c r="H22" t="str">
        <f>VLOOKUP(project!$B22,Customer!$A$1:$C$41,MATCH(Customer!C$1,Customer!$A$1:$C$1,0),FALSE)</f>
        <v>North</v>
      </c>
      <c r="I22" t="str">
        <f>VLOOKUP(project!$C22,Product_table!$A$1:$D$31,MATCH(Product_table!B$1,Product_table!$A$1:$D$1,0))</f>
        <v>Fire TV Stick</v>
      </c>
      <c r="J22" t="str">
        <f>VLOOKUP(project!$C22,Product_table!$A$1:$D$31,MATCH(Product_table!C$1,Product_table!$A$1:$D$1,0))</f>
        <v>Electronics</v>
      </c>
      <c r="K22">
        <f>VLOOKUP(project!$C22,Product_table!$A$1:$D$31,MATCH(Product_table!D$1,Product_table!$A$1:$D$1,0))</f>
        <v>2999</v>
      </c>
      <c r="L22">
        <f>Table2[[#This Row],[Price]]*Table2[[#This Row],[Quantity]]</f>
        <v>8997</v>
      </c>
      <c r="M22">
        <f>Table2[[#This Row],[Profit]]/Table2[[#This Row],[Salse]]</f>
        <v>0.24452595309547626</v>
      </c>
      <c r="N22">
        <f>YEAR(Table2[[#This Row],[OrderDate]])</f>
        <v>2024</v>
      </c>
      <c r="O22">
        <f>MONTH(Table2[[#This Row],[OrderDate]])</f>
        <v>1</v>
      </c>
      <c r="P22" t="str">
        <f>TEXT(Table2[[#This Row],[OrderDate]],"mmm")</f>
        <v>Jan</v>
      </c>
    </row>
    <row r="23" spans="1:16" x14ac:dyDescent="0.35">
      <c r="A23">
        <v>1022</v>
      </c>
      <c r="B23" t="s">
        <v>103</v>
      </c>
      <c r="C23" t="s">
        <v>77</v>
      </c>
      <c r="D23">
        <v>2</v>
      </c>
      <c r="E23" s="1">
        <v>45308</v>
      </c>
      <c r="F23">
        <v>650</v>
      </c>
      <c r="G23" t="str">
        <f>VLOOKUP(project!$B23,Customer!$A$1:$C$41,MATCH(Customer!B$1,Customer!$A$1:$C$1,0),FALSE)</f>
        <v>Seema Joshi</v>
      </c>
      <c r="H23" t="str">
        <f>VLOOKUP(project!$B23,Customer!$A$1:$C$41,MATCH(Customer!C$1,Customer!$A$1:$C$1,0),FALSE)</f>
        <v>South</v>
      </c>
      <c r="I23" t="str">
        <f>VLOOKUP(project!$C23,Product_table!$A$1:$D$31,MATCH(Product_table!B$1,Product_table!$A$1:$D$1,0))</f>
        <v>Noise Headphones</v>
      </c>
      <c r="J23" t="str">
        <f>VLOOKUP(project!$C23,Product_table!$A$1:$D$31,MATCH(Product_table!C$1,Product_table!$A$1:$D$1,0))</f>
        <v>Accessories</v>
      </c>
      <c r="K23">
        <f>VLOOKUP(project!$C23,Product_table!$A$1:$D$31,MATCH(Product_table!D$1,Product_table!$A$1:$D$1,0))</f>
        <v>1999</v>
      </c>
      <c r="L23">
        <f>Table2[[#This Row],[Price]]*Table2[[#This Row],[Quantity]]</f>
        <v>3998</v>
      </c>
      <c r="M23">
        <f>Table2[[#This Row],[Profit]]/Table2[[#This Row],[Salse]]</f>
        <v>0.16258129064532267</v>
      </c>
      <c r="N23">
        <f>YEAR(Table2[[#This Row],[OrderDate]])</f>
        <v>2024</v>
      </c>
      <c r="O23">
        <f>MONTH(Table2[[#This Row],[OrderDate]])</f>
        <v>1</v>
      </c>
      <c r="P23" t="str">
        <f>TEXT(Table2[[#This Row],[OrderDate]],"mmm")</f>
        <v>Jan</v>
      </c>
    </row>
    <row r="24" spans="1:16" x14ac:dyDescent="0.35">
      <c r="A24">
        <v>1023</v>
      </c>
      <c r="B24" t="s">
        <v>104</v>
      </c>
      <c r="C24" t="s">
        <v>71</v>
      </c>
      <c r="D24">
        <v>1</v>
      </c>
      <c r="E24" s="1">
        <v>45309</v>
      </c>
      <c r="F24">
        <v>380</v>
      </c>
      <c r="G24" t="str">
        <f>VLOOKUP(project!$B24,Customer!$A$1:$C$41,MATCH(Customer!B$1,Customer!$A$1:$C$1,0),FALSE)</f>
        <v>Ashutosh Rana</v>
      </c>
      <c r="H24" t="str">
        <f>VLOOKUP(project!$B24,Customer!$A$1:$C$41,MATCH(Customer!C$1,Customer!$A$1:$C$1,0),FALSE)</f>
        <v>West</v>
      </c>
      <c r="I24" t="str">
        <f>VLOOKUP(project!$C24,Product_table!$A$1:$D$31,MATCH(Product_table!B$1,Product_table!$A$1:$D$1,0))</f>
        <v>Boat Speakers</v>
      </c>
      <c r="J24" t="str">
        <f>VLOOKUP(project!$C24,Product_table!$A$1:$D$31,MATCH(Product_table!C$1,Product_table!$A$1:$D$1,0))</f>
        <v>Electronics</v>
      </c>
      <c r="K24">
        <f>VLOOKUP(project!$C24,Product_table!$A$1:$D$31,MATCH(Product_table!D$1,Product_table!$A$1:$D$1,0))</f>
        <v>3500</v>
      </c>
      <c r="L24">
        <f>Table2[[#This Row],[Price]]*Table2[[#This Row],[Quantity]]</f>
        <v>3500</v>
      </c>
      <c r="M24">
        <f>Table2[[#This Row],[Profit]]/Table2[[#This Row],[Salse]]</f>
        <v>0.10857142857142857</v>
      </c>
      <c r="N24">
        <f>YEAR(Table2[[#This Row],[OrderDate]])</f>
        <v>2024</v>
      </c>
      <c r="O24">
        <f>MONTH(Table2[[#This Row],[OrderDate]])</f>
        <v>1</v>
      </c>
      <c r="P24" t="str">
        <f>TEXT(Table2[[#This Row],[OrderDate]],"mmm")</f>
        <v>Jan</v>
      </c>
    </row>
    <row r="25" spans="1:16" x14ac:dyDescent="0.35">
      <c r="A25">
        <v>1024</v>
      </c>
      <c r="B25" t="s">
        <v>105</v>
      </c>
      <c r="C25" t="s">
        <v>69</v>
      </c>
      <c r="D25">
        <v>1</v>
      </c>
      <c r="E25" s="1">
        <v>45310</v>
      </c>
      <c r="F25">
        <v>13000</v>
      </c>
      <c r="G25" t="str">
        <f>VLOOKUP(project!$B25,Customer!$A$1:$C$41,MATCH(Customer!B$1,Customer!$A$1:$C$1,0),FALSE)</f>
        <v>Pankaj Yadav</v>
      </c>
      <c r="H25" t="str">
        <f>VLOOKUP(project!$B25,Customer!$A$1:$C$41,MATCH(Customer!C$1,Customer!$A$1:$C$1,0),FALSE)</f>
        <v>East</v>
      </c>
      <c r="I25" t="str">
        <f>VLOOKUP(project!$C25,Product_table!$A$1:$D$31,MATCH(Product_table!B$1,Product_table!$A$1:$D$1,0))</f>
        <v>Amazon Echo Dot</v>
      </c>
      <c r="J25" t="str">
        <f>VLOOKUP(project!$C25,Product_table!$A$1:$D$31,MATCH(Product_table!C$1,Product_table!$A$1:$D$1,0))</f>
        <v>Electronics</v>
      </c>
      <c r="K25">
        <f>VLOOKUP(project!$C25,Product_table!$A$1:$D$31,MATCH(Product_table!D$1,Product_table!$A$1:$D$1,0))</f>
        <v>4500</v>
      </c>
      <c r="L25">
        <f>Table2[[#This Row],[Price]]*Table2[[#This Row],[Quantity]]</f>
        <v>4500</v>
      </c>
      <c r="M25">
        <f>Table2[[#This Row],[Profit]]/Table2[[#This Row],[Salse]]</f>
        <v>2.8888888888888888</v>
      </c>
      <c r="N25">
        <f>YEAR(Table2[[#This Row],[OrderDate]])</f>
        <v>2024</v>
      </c>
      <c r="O25">
        <f>MONTH(Table2[[#This Row],[OrderDate]])</f>
        <v>1</v>
      </c>
      <c r="P25" t="str">
        <f>TEXT(Table2[[#This Row],[OrderDate]],"mmm")</f>
        <v>Jan</v>
      </c>
    </row>
    <row r="26" spans="1:16" x14ac:dyDescent="0.35">
      <c r="A26">
        <v>1025</v>
      </c>
      <c r="B26" t="s">
        <v>106</v>
      </c>
      <c r="C26" t="s">
        <v>107</v>
      </c>
      <c r="D26">
        <v>1</v>
      </c>
      <c r="E26" s="1">
        <v>45311</v>
      </c>
      <c r="F26">
        <v>200</v>
      </c>
      <c r="G26" t="str">
        <f>VLOOKUP(project!$B26,Customer!$A$1:$C$41,MATCH(Customer!B$1,Customer!$A$1:$C$1,0),FALSE)</f>
        <v>Komal Vora</v>
      </c>
      <c r="H26" t="str">
        <f>VLOOKUP(project!$B26,Customer!$A$1:$C$41,MATCH(Customer!C$1,Customer!$A$1:$C$1,0),FALSE)</f>
        <v>North</v>
      </c>
      <c r="I26" t="str">
        <f>VLOOKUP(project!$C26,Product_table!$A$1:$D$31,MATCH(Product_table!B$1,Product_table!$A$1:$D$1,0))</f>
        <v>Backpack</v>
      </c>
      <c r="J26" t="str">
        <f>VLOOKUP(project!$C26,Product_table!$A$1:$D$31,MATCH(Product_table!C$1,Product_table!$A$1:$D$1,0))</f>
        <v>Accessories</v>
      </c>
      <c r="K26">
        <f>VLOOKUP(project!$C26,Product_table!$A$1:$D$31,MATCH(Product_table!D$1,Product_table!$A$1:$D$1,0))</f>
        <v>1299</v>
      </c>
      <c r="L26">
        <f>Table2[[#This Row],[Price]]*Table2[[#This Row],[Quantity]]</f>
        <v>1299</v>
      </c>
      <c r="M26">
        <f>Table2[[#This Row],[Profit]]/Table2[[#This Row],[Salse]]</f>
        <v>0.15396458814472672</v>
      </c>
      <c r="N26">
        <f>YEAR(Table2[[#This Row],[OrderDate]])</f>
        <v>2024</v>
      </c>
      <c r="O26">
        <f>MONTH(Table2[[#This Row],[OrderDate]])</f>
        <v>1</v>
      </c>
      <c r="P26" t="str">
        <f>TEXT(Table2[[#This Row],[OrderDate]],"mmm")</f>
        <v>Jan</v>
      </c>
    </row>
    <row r="27" spans="1:16" x14ac:dyDescent="0.35">
      <c r="A27">
        <v>1026</v>
      </c>
      <c r="B27" t="s">
        <v>108</v>
      </c>
      <c r="C27" t="s">
        <v>109</v>
      </c>
      <c r="D27">
        <v>1</v>
      </c>
      <c r="E27" s="1">
        <v>45312</v>
      </c>
      <c r="F27">
        <v>900</v>
      </c>
      <c r="G27" t="str">
        <f>VLOOKUP(project!$B27,Customer!$A$1:$C$41,MATCH(Customer!B$1,Customer!$A$1:$C$1,0),FALSE)</f>
        <v>Sameer Seth</v>
      </c>
      <c r="H27" t="str">
        <f>VLOOKUP(project!$B27,Customer!$A$1:$C$41,MATCH(Customer!C$1,Customer!$A$1:$C$1,0),FALSE)</f>
        <v>South</v>
      </c>
      <c r="I27" t="str">
        <f>VLOOKUP(project!$C27,Product_table!$A$1:$D$31,MATCH(Product_table!B$1,Product_table!$A$1:$D$1,0))</f>
        <v>Portable SSD 1TB</v>
      </c>
      <c r="J27" t="str">
        <f>VLOOKUP(project!$C27,Product_table!$A$1:$D$31,MATCH(Product_table!C$1,Product_table!$A$1:$D$1,0))</f>
        <v>Electronics</v>
      </c>
      <c r="K27">
        <f>VLOOKUP(project!$C27,Product_table!$A$1:$D$31,MATCH(Product_table!D$1,Product_table!$A$1:$D$1,0))</f>
        <v>9500</v>
      </c>
      <c r="L27">
        <f>Table2[[#This Row],[Price]]*Table2[[#This Row],[Quantity]]</f>
        <v>9500</v>
      </c>
      <c r="M27">
        <f>Table2[[#This Row],[Profit]]/Table2[[#This Row],[Salse]]</f>
        <v>9.4736842105263161E-2</v>
      </c>
      <c r="N27">
        <f>YEAR(Table2[[#This Row],[OrderDate]])</f>
        <v>2024</v>
      </c>
      <c r="O27">
        <f>MONTH(Table2[[#This Row],[OrderDate]])</f>
        <v>1</v>
      </c>
      <c r="P27" t="str">
        <f>TEXT(Table2[[#This Row],[OrderDate]],"mmm")</f>
        <v>Jan</v>
      </c>
    </row>
    <row r="28" spans="1:16" x14ac:dyDescent="0.35">
      <c r="A28">
        <v>1027</v>
      </c>
      <c r="B28" t="s">
        <v>110</v>
      </c>
      <c r="C28" t="s">
        <v>86</v>
      </c>
      <c r="D28">
        <v>1</v>
      </c>
      <c r="E28" s="1">
        <v>45313</v>
      </c>
      <c r="F28">
        <v>900</v>
      </c>
      <c r="G28" t="str">
        <f>VLOOKUP(project!$B28,Customer!$A$1:$C$41,MATCH(Customer!B$1,Customer!$A$1:$C$1,0),FALSE)</f>
        <v>Rehan Khan</v>
      </c>
      <c r="H28" t="str">
        <f>VLOOKUP(project!$B28,Customer!$A$1:$C$41,MATCH(Customer!C$1,Customer!$A$1:$C$1,0),FALSE)</f>
        <v>West</v>
      </c>
      <c r="I28" t="str">
        <f>VLOOKUP(project!$C28,Product_table!$A$1:$D$31,MATCH(Product_table!B$1,Product_table!$A$1:$D$1,0))</f>
        <v>Comfort Chair</v>
      </c>
      <c r="J28" t="str">
        <f>VLOOKUP(project!$C28,Product_table!$A$1:$D$31,MATCH(Product_table!C$1,Product_table!$A$1:$D$1,0))</f>
        <v>Furniture</v>
      </c>
      <c r="K28">
        <f>VLOOKUP(project!$C28,Product_table!$A$1:$D$31,MATCH(Product_table!D$1,Product_table!$A$1:$D$1,0))</f>
        <v>5500</v>
      </c>
      <c r="L28">
        <f>Table2[[#This Row],[Price]]*Table2[[#This Row],[Quantity]]</f>
        <v>5500</v>
      </c>
      <c r="M28">
        <f>Table2[[#This Row],[Profit]]/Table2[[#This Row],[Salse]]</f>
        <v>0.16363636363636364</v>
      </c>
      <c r="N28">
        <f>YEAR(Table2[[#This Row],[OrderDate]])</f>
        <v>2024</v>
      </c>
      <c r="O28">
        <f>MONTH(Table2[[#This Row],[OrderDate]])</f>
        <v>1</v>
      </c>
      <c r="P28" t="str">
        <f>TEXT(Table2[[#This Row],[OrderDate]],"mmm")</f>
        <v>Jan</v>
      </c>
    </row>
    <row r="29" spans="1:16" x14ac:dyDescent="0.35">
      <c r="A29">
        <v>1028</v>
      </c>
      <c r="B29" t="s">
        <v>111</v>
      </c>
      <c r="C29" t="s">
        <v>112</v>
      </c>
      <c r="D29">
        <v>5</v>
      </c>
      <c r="E29" s="1">
        <v>45314</v>
      </c>
      <c r="F29">
        <v>3000</v>
      </c>
      <c r="G29" t="str">
        <f>VLOOKUP(project!$B29,Customer!$A$1:$C$41,MATCH(Customer!B$1,Customer!$A$1:$C$1,0),FALSE)</f>
        <v>Samir Dholakia</v>
      </c>
      <c r="H29" t="str">
        <f>VLOOKUP(project!$B29,Customer!$A$1:$C$41,MATCH(Customer!C$1,Customer!$A$1:$C$1,0),FALSE)</f>
        <v>East</v>
      </c>
      <c r="I29" t="str">
        <f>VLOOKUP(project!$C29,Product_table!$A$1:$D$31,MATCH(Product_table!B$1,Product_table!$A$1:$D$1,0))</f>
        <v>USB Cable</v>
      </c>
      <c r="J29" t="str">
        <f>VLOOKUP(project!$C29,Product_table!$A$1:$D$31,MATCH(Product_table!C$1,Product_table!$A$1:$D$1,0))</f>
        <v>Accessories</v>
      </c>
      <c r="K29">
        <f>VLOOKUP(project!$C29,Product_table!$A$1:$D$31,MATCH(Product_table!D$1,Product_table!$A$1:$D$1,0))</f>
        <v>249</v>
      </c>
      <c r="L29">
        <f>Table2[[#This Row],[Price]]*Table2[[#This Row],[Quantity]]</f>
        <v>1245</v>
      </c>
      <c r="M29">
        <f>Table2[[#This Row],[Profit]]/Table2[[#This Row],[Salse]]</f>
        <v>2.4096385542168677</v>
      </c>
      <c r="N29">
        <f>YEAR(Table2[[#This Row],[OrderDate]])</f>
        <v>2024</v>
      </c>
      <c r="O29">
        <f>MONTH(Table2[[#This Row],[OrderDate]])</f>
        <v>1</v>
      </c>
      <c r="P29" t="str">
        <f>TEXT(Table2[[#This Row],[OrderDate]],"mmm")</f>
        <v>Jan</v>
      </c>
    </row>
    <row r="30" spans="1:16" x14ac:dyDescent="0.35">
      <c r="A30">
        <v>1029</v>
      </c>
      <c r="B30" t="s">
        <v>113</v>
      </c>
      <c r="C30" t="s">
        <v>114</v>
      </c>
      <c r="D30">
        <v>1</v>
      </c>
      <c r="E30" s="1">
        <v>45315</v>
      </c>
      <c r="F30">
        <v>800</v>
      </c>
      <c r="G30" t="str">
        <f>VLOOKUP(project!$B30,Customer!$A$1:$C$41,MATCH(Customer!B$1,Customer!$A$1:$C$1,0),FALSE)</f>
        <v>Divya Singh</v>
      </c>
      <c r="H30" t="str">
        <f>VLOOKUP(project!$B30,Customer!$A$1:$C$41,MATCH(Customer!C$1,Customer!$A$1:$C$1,0),FALSE)</f>
        <v>North</v>
      </c>
      <c r="I30" t="str">
        <f>VLOOKUP(project!$C30,Product_table!$A$1:$D$31,MATCH(Product_table!B$1,Product_table!$A$1:$D$1,0))</f>
        <v>Webcam HD</v>
      </c>
      <c r="J30" t="str">
        <f>VLOOKUP(project!$C30,Product_table!$A$1:$D$31,MATCH(Product_table!C$1,Product_table!$A$1:$D$1,0))</f>
        <v>Electronics</v>
      </c>
      <c r="K30">
        <f>VLOOKUP(project!$C30,Product_table!$A$1:$D$31,MATCH(Product_table!D$1,Product_table!$A$1:$D$1,0))</f>
        <v>2500</v>
      </c>
      <c r="L30">
        <f>Table2[[#This Row],[Price]]*Table2[[#This Row],[Quantity]]</f>
        <v>2500</v>
      </c>
      <c r="M30">
        <f>Table2[[#This Row],[Profit]]/Table2[[#This Row],[Salse]]</f>
        <v>0.32</v>
      </c>
      <c r="N30">
        <f>YEAR(Table2[[#This Row],[OrderDate]])</f>
        <v>2024</v>
      </c>
      <c r="O30">
        <f>MONTH(Table2[[#This Row],[OrderDate]])</f>
        <v>1</v>
      </c>
      <c r="P30" t="str">
        <f>TEXT(Table2[[#This Row],[OrderDate]],"mmm")</f>
        <v>Jan</v>
      </c>
    </row>
    <row r="31" spans="1:16" x14ac:dyDescent="0.35">
      <c r="A31">
        <v>1030</v>
      </c>
      <c r="B31" t="s">
        <v>115</v>
      </c>
      <c r="C31" t="s">
        <v>116</v>
      </c>
      <c r="D31">
        <v>4</v>
      </c>
      <c r="E31" s="1">
        <v>45316</v>
      </c>
      <c r="F31">
        <v>900</v>
      </c>
      <c r="G31" t="str">
        <f>VLOOKUP(project!$B31,Customer!$A$1:$C$41,MATCH(Customer!B$1,Customer!$A$1:$C$1,0),FALSE)</f>
        <v>Meera Kapoor</v>
      </c>
      <c r="H31" t="str">
        <f>VLOOKUP(project!$B31,Customer!$A$1:$C$41,MATCH(Customer!C$1,Customer!$A$1:$C$1,0),FALSE)</f>
        <v>South</v>
      </c>
      <c r="I31" t="str">
        <f>VLOOKUP(project!$C31,Product_table!$A$1:$D$31,MATCH(Product_table!B$1,Product_table!$A$1:$D$1,0))</f>
        <v>Printer Ink</v>
      </c>
      <c r="J31" t="str">
        <f>VLOOKUP(project!$C31,Product_table!$A$1:$D$31,MATCH(Product_table!C$1,Product_table!$A$1:$D$1,0))</f>
        <v>FMCG</v>
      </c>
      <c r="K31">
        <f>VLOOKUP(project!$C31,Product_table!$A$1:$D$31,MATCH(Product_table!D$1,Product_table!$A$1:$D$1,0))</f>
        <v>450</v>
      </c>
      <c r="L31">
        <f>Table2[[#This Row],[Price]]*Table2[[#This Row],[Quantity]]</f>
        <v>1800</v>
      </c>
      <c r="M31">
        <f>Table2[[#This Row],[Profit]]/Table2[[#This Row],[Salse]]</f>
        <v>0.5</v>
      </c>
      <c r="N31">
        <f>YEAR(Table2[[#This Row],[OrderDate]])</f>
        <v>2024</v>
      </c>
      <c r="O31">
        <f>MONTH(Table2[[#This Row],[OrderDate]])</f>
        <v>1</v>
      </c>
      <c r="P31" t="str">
        <f>TEXT(Table2[[#This Row],[OrderDate]],"mmm")</f>
        <v>Jan</v>
      </c>
    </row>
    <row r="32" spans="1:16" x14ac:dyDescent="0.35">
      <c r="A32">
        <v>1031</v>
      </c>
      <c r="B32" t="s">
        <v>117</v>
      </c>
      <c r="C32" t="s">
        <v>118</v>
      </c>
      <c r="D32">
        <v>1</v>
      </c>
      <c r="E32" s="1">
        <v>45317</v>
      </c>
      <c r="F32">
        <v>1800</v>
      </c>
      <c r="G32" t="str">
        <f>VLOOKUP(project!$B32,Customer!$A$1:$C$41,MATCH(Customer!B$1,Customer!$A$1:$C$1,0),FALSE)</f>
        <v>Karan Mulchandani</v>
      </c>
      <c r="H32" t="str">
        <f>VLOOKUP(project!$B32,Customer!$A$1:$C$41,MATCH(Customer!C$1,Customer!$A$1:$C$1,0),FALSE)</f>
        <v>West</v>
      </c>
      <c r="I32" t="str">
        <f>VLOOKUP(project!$C32,Product_table!$A$1:$D$31,MATCH(Product_table!B$1,Product_table!$A$1:$D$1,0))</f>
        <v>Gaming Mouse</v>
      </c>
      <c r="J32" t="str">
        <f>VLOOKUP(project!$C32,Product_table!$A$1:$D$31,MATCH(Product_table!C$1,Product_table!$A$1:$D$1,0))</f>
        <v>Electronics</v>
      </c>
      <c r="K32">
        <f>VLOOKUP(project!$C32,Product_table!$A$1:$D$31,MATCH(Product_table!D$1,Product_table!$A$1:$D$1,0))</f>
        <v>1999</v>
      </c>
      <c r="L32">
        <f>Table2[[#This Row],[Price]]*Table2[[#This Row],[Quantity]]</f>
        <v>1999</v>
      </c>
      <c r="M32">
        <f>Table2[[#This Row],[Profit]]/Table2[[#This Row],[Salse]]</f>
        <v>0.90045022511255624</v>
      </c>
      <c r="N32">
        <f>YEAR(Table2[[#This Row],[OrderDate]])</f>
        <v>2024</v>
      </c>
      <c r="O32">
        <f>MONTH(Table2[[#This Row],[OrderDate]])</f>
        <v>1</v>
      </c>
      <c r="P32" t="str">
        <f>TEXT(Table2[[#This Row],[OrderDate]],"mmm")</f>
        <v>Jan</v>
      </c>
    </row>
    <row r="33" spans="1:16" x14ac:dyDescent="0.35">
      <c r="A33">
        <v>1032</v>
      </c>
      <c r="B33" t="s">
        <v>119</v>
      </c>
      <c r="C33" t="s">
        <v>120</v>
      </c>
      <c r="D33">
        <v>2</v>
      </c>
      <c r="E33" s="1">
        <v>45318</v>
      </c>
      <c r="F33">
        <v>1000</v>
      </c>
      <c r="G33" t="str">
        <f>VLOOKUP(project!$B33,Customer!$A$1:$C$41,MATCH(Customer!B$1,Customer!$A$1:$C$1,0),FALSE)</f>
        <v>Sonal Nair</v>
      </c>
      <c r="H33" t="str">
        <f>VLOOKUP(project!$B33,Customer!$A$1:$C$41,MATCH(Customer!C$1,Customer!$A$1:$C$1,0),FALSE)</f>
        <v>East</v>
      </c>
      <c r="I33" t="str">
        <f>VLOOKUP(project!$C33,Product_table!$A$1:$D$31,MATCH(Product_table!B$1,Product_table!$A$1:$D$1,0))</f>
        <v>Wireless Mouse</v>
      </c>
      <c r="J33" t="str">
        <f>VLOOKUP(project!$C33,Product_table!$A$1:$D$31,MATCH(Product_table!C$1,Product_table!$A$1:$D$1,0))</f>
        <v>Accessories</v>
      </c>
      <c r="K33">
        <f>VLOOKUP(project!$C33,Product_table!$A$1:$D$31,MATCH(Product_table!D$1,Product_table!$A$1:$D$1,0))</f>
        <v>799</v>
      </c>
      <c r="L33">
        <f>Table2[[#This Row],[Price]]*Table2[[#This Row],[Quantity]]</f>
        <v>1598</v>
      </c>
      <c r="M33">
        <f>Table2[[#This Row],[Profit]]/Table2[[#This Row],[Salse]]</f>
        <v>0.62578222778473092</v>
      </c>
      <c r="N33">
        <f>YEAR(Table2[[#This Row],[OrderDate]])</f>
        <v>2024</v>
      </c>
      <c r="O33">
        <f>MONTH(Table2[[#This Row],[OrderDate]])</f>
        <v>1</v>
      </c>
      <c r="P33" t="str">
        <f>TEXT(Table2[[#This Row],[OrderDate]],"mmm")</f>
        <v>Jan</v>
      </c>
    </row>
    <row r="34" spans="1:16" x14ac:dyDescent="0.35">
      <c r="A34">
        <v>1033</v>
      </c>
      <c r="B34" t="s">
        <v>121</v>
      </c>
      <c r="C34" t="s">
        <v>77</v>
      </c>
      <c r="D34">
        <v>1</v>
      </c>
      <c r="E34" s="1">
        <v>45318</v>
      </c>
      <c r="F34">
        <v>14000</v>
      </c>
      <c r="G34" t="str">
        <f>VLOOKUP(project!$B34,Customer!$A$1:$C$41,MATCH(Customer!B$1,Customer!$A$1:$C$1,0),FALSE)</f>
        <v>Yash Sharma</v>
      </c>
      <c r="H34" t="str">
        <f>VLOOKUP(project!$B34,Customer!$A$1:$C$41,MATCH(Customer!C$1,Customer!$A$1:$C$1,0),FALSE)</f>
        <v>North</v>
      </c>
      <c r="I34" t="str">
        <f>VLOOKUP(project!$C34,Product_table!$A$1:$D$31,MATCH(Product_table!B$1,Product_table!$A$1:$D$1,0))</f>
        <v>Noise Headphones</v>
      </c>
      <c r="J34" t="str">
        <f>VLOOKUP(project!$C34,Product_table!$A$1:$D$31,MATCH(Product_table!C$1,Product_table!$A$1:$D$1,0))</f>
        <v>Accessories</v>
      </c>
      <c r="K34">
        <f>VLOOKUP(project!$C34,Product_table!$A$1:$D$31,MATCH(Product_table!D$1,Product_table!$A$1:$D$1,0))</f>
        <v>1999</v>
      </c>
      <c r="L34">
        <f>Table2[[#This Row],[Price]]*Table2[[#This Row],[Quantity]]</f>
        <v>1999</v>
      </c>
      <c r="M34">
        <f>Table2[[#This Row],[Profit]]/Table2[[#This Row],[Salse]]</f>
        <v>7.0035017508754374</v>
      </c>
      <c r="N34">
        <f>YEAR(Table2[[#This Row],[OrderDate]])</f>
        <v>2024</v>
      </c>
      <c r="O34">
        <f>MONTH(Table2[[#This Row],[OrderDate]])</f>
        <v>1</v>
      </c>
      <c r="P34" t="str">
        <f>TEXT(Table2[[#This Row],[OrderDate]],"mmm")</f>
        <v>Jan</v>
      </c>
    </row>
    <row r="35" spans="1:16" x14ac:dyDescent="0.35">
      <c r="A35">
        <v>1034</v>
      </c>
      <c r="B35" t="s">
        <v>122</v>
      </c>
      <c r="C35" t="s">
        <v>123</v>
      </c>
      <c r="D35">
        <v>2</v>
      </c>
      <c r="E35" s="1">
        <v>45319</v>
      </c>
      <c r="F35">
        <v>350</v>
      </c>
      <c r="G35" t="str">
        <f>VLOOKUP(project!$B35,Customer!$A$1:$C$41,MATCH(Customer!B$1,Customer!$A$1:$C$1,0),FALSE)</f>
        <v>Ankita Joshi</v>
      </c>
      <c r="H35" t="str">
        <f>VLOOKUP(project!$B35,Customer!$A$1:$C$41,MATCH(Customer!C$1,Customer!$A$1:$C$1,0),FALSE)</f>
        <v>South</v>
      </c>
      <c r="I35" t="str">
        <f>VLOOKUP(project!$C35,Product_table!$A$1:$D$31,MATCH(Product_table!B$1,Product_table!$A$1:$D$1,0))</f>
        <v>Extension Board</v>
      </c>
      <c r="J35" t="str">
        <f>VLOOKUP(project!$C35,Product_table!$A$1:$D$31,MATCH(Product_table!C$1,Product_table!$A$1:$D$1,0))</f>
        <v>Accessories</v>
      </c>
      <c r="K35">
        <f>VLOOKUP(project!$C35,Product_table!$A$1:$D$31,MATCH(Product_table!D$1,Product_table!$A$1:$D$1,0))</f>
        <v>699</v>
      </c>
      <c r="L35">
        <f>Table2[[#This Row],[Price]]*Table2[[#This Row],[Quantity]]</f>
        <v>1398</v>
      </c>
      <c r="M35">
        <f>Table2[[#This Row],[Profit]]/Table2[[#This Row],[Salse]]</f>
        <v>0.25035765379113017</v>
      </c>
      <c r="N35">
        <f>YEAR(Table2[[#This Row],[OrderDate]])</f>
        <v>2024</v>
      </c>
      <c r="O35">
        <f>MONTH(Table2[[#This Row],[OrderDate]])</f>
        <v>1</v>
      </c>
      <c r="P35" t="str">
        <f>TEXT(Table2[[#This Row],[OrderDate]],"mmm")</f>
        <v>Jan</v>
      </c>
    </row>
    <row r="36" spans="1:16" x14ac:dyDescent="0.35">
      <c r="A36">
        <v>1035</v>
      </c>
      <c r="B36" t="s">
        <v>124</v>
      </c>
      <c r="C36" t="s">
        <v>77</v>
      </c>
      <c r="D36">
        <v>3</v>
      </c>
      <c r="E36" s="1">
        <v>45319</v>
      </c>
      <c r="F36">
        <v>200</v>
      </c>
      <c r="G36" t="str">
        <f>VLOOKUP(project!$B36,Customer!$A$1:$C$41,MATCH(Customer!B$1,Customer!$A$1:$C$1,0),FALSE)</f>
        <v>Jeet Kumar</v>
      </c>
      <c r="H36" t="str">
        <f>VLOOKUP(project!$B36,Customer!$A$1:$C$41,MATCH(Customer!C$1,Customer!$A$1:$C$1,0),FALSE)</f>
        <v>West</v>
      </c>
      <c r="I36" t="str">
        <f>VLOOKUP(project!$C36,Product_table!$A$1:$D$31,MATCH(Product_table!B$1,Product_table!$A$1:$D$1,0))</f>
        <v>Noise Headphones</v>
      </c>
      <c r="J36" t="str">
        <f>VLOOKUP(project!$C36,Product_table!$A$1:$D$31,MATCH(Product_table!C$1,Product_table!$A$1:$D$1,0))</f>
        <v>Accessories</v>
      </c>
      <c r="K36">
        <f>VLOOKUP(project!$C36,Product_table!$A$1:$D$31,MATCH(Product_table!D$1,Product_table!$A$1:$D$1,0))</f>
        <v>1999</v>
      </c>
      <c r="L36">
        <f>Table2[[#This Row],[Price]]*Table2[[#This Row],[Quantity]]</f>
        <v>5997</v>
      </c>
      <c r="M36">
        <f>Table2[[#This Row],[Profit]]/Table2[[#This Row],[Salse]]</f>
        <v>3.3350008337502082E-2</v>
      </c>
      <c r="N36">
        <f>YEAR(Table2[[#This Row],[OrderDate]])</f>
        <v>2024</v>
      </c>
      <c r="O36">
        <f>MONTH(Table2[[#This Row],[OrderDate]])</f>
        <v>1</v>
      </c>
      <c r="P36" t="str">
        <f>TEXT(Table2[[#This Row],[OrderDate]],"mmm")</f>
        <v>Jan</v>
      </c>
    </row>
    <row r="37" spans="1:16" x14ac:dyDescent="0.35">
      <c r="A37">
        <v>1036</v>
      </c>
      <c r="B37" t="s">
        <v>125</v>
      </c>
      <c r="C37" t="s">
        <v>126</v>
      </c>
      <c r="D37">
        <v>2</v>
      </c>
      <c r="E37" s="1">
        <v>45320</v>
      </c>
      <c r="F37">
        <v>850</v>
      </c>
      <c r="G37" t="str">
        <f>VLOOKUP(project!$B37,Customer!$A$1:$C$41,MATCH(Customer!B$1,Customer!$A$1:$C$1,0),FALSE)</f>
        <v>Ritika Bose</v>
      </c>
      <c r="H37" t="str">
        <f>VLOOKUP(project!$B37,Customer!$A$1:$C$41,MATCH(Customer!C$1,Customer!$A$1:$C$1,0),FALSE)</f>
        <v>East</v>
      </c>
      <c r="I37" t="str">
        <f>VLOOKUP(project!$C37,Product_table!$A$1:$D$31,MATCH(Product_table!B$1,Product_table!$A$1:$D$1,0))</f>
        <v>Notebook Set</v>
      </c>
      <c r="J37" t="str">
        <f>VLOOKUP(project!$C37,Product_table!$A$1:$D$31,MATCH(Product_table!C$1,Product_table!$A$1:$D$1,0))</f>
        <v>Stationery</v>
      </c>
      <c r="K37">
        <f>VLOOKUP(project!$C37,Product_table!$A$1:$D$31,MATCH(Product_table!D$1,Product_table!$A$1:$D$1,0))</f>
        <v>299</v>
      </c>
      <c r="L37">
        <f>Table2[[#This Row],[Price]]*Table2[[#This Row],[Quantity]]</f>
        <v>598</v>
      </c>
      <c r="M37">
        <f>Table2[[#This Row],[Profit]]/Table2[[#This Row],[Salse]]</f>
        <v>1.4214046822742474</v>
      </c>
      <c r="N37">
        <f>YEAR(Table2[[#This Row],[OrderDate]])</f>
        <v>2024</v>
      </c>
      <c r="O37">
        <f>MONTH(Table2[[#This Row],[OrderDate]])</f>
        <v>1</v>
      </c>
      <c r="P37" t="str">
        <f>TEXT(Table2[[#This Row],[OrderDate]],"mmm")</f>
        <v>Jan</v>
      </c>
    </row>
    <row r="38" spans="1:16" x14ac:dyDescent="0.35">
      <c r="A38">
        <v>1037</v>
      </c>
      <c r="B38" t="s">
        <v>127</v>
      </c>
      <c r="C38" t="s">
        <v>128</v>
      </c>
      <c r="D38">
        <v>1</v>
      </c>
      <c r="E38" s="1">
        <v>45320</v>
      </c>
      <c r="F38">
        <v>900</v>
      </c>
      <c r="G38" t="str">
        <f>VLOOKUP(project!$B38,Customer!$A$1:$C$41,MATCH(Customer!B$1,Customer!$A$1:$C$1,0),FALSE)</f>
        <v>Vaishali Patel</v>
      </c>
      <c r="H38" t="str">
        <f>VLOOKUP(project!$B38,Customer!$A$1:$C$41,MATCH(Customer!C$1,Customer!$A$1:$C$1,0),FALSE)</f>
        <v>North</v>
      </c>
      <c r="I38" t="str">
        <f>VLOOKUP(project!$C38,Product_table!$A$1:$D$31,MATCH(Product_table!B$1,Product_table!$A$1:$D$1,0))</f>
        <v>Smart Bulb</v>
      </c>
      <c r="J38" t="str">
        <f>VLOOKUP(project!$C38,Product_table!$A$1:$D$31,MATCH(Product_table!C$1,Product_table!$A$1:$D$1,0))</f>
        <v>Electronics</v>
      </c>
      <c r="K38">
        <f>VLOOKUP(project!$C38,Product_table!$A$1:$D$31,MATCH(Product_table!D$1,Product_table!$A$1:$D$1,0))</f>
        <v>899</v>
      </c>
      <c r="L38">
        <f>Table2[[#This Row],[Price]]*Table2[[#This Row],[Quantity]]</f>
        <v>899</v>
      </c>
      <c r="M38">
        <f>Table2[[#This Row],[Profit]]/Table2[[#This Row],[Salse]]</f>
        <v>1.0011123470522802</v>
      </c>
      <c r="N38">
        <f>YEAR(Table2[[#This Row],[OrderDate]])</f>
        <v>2024</v>
      </c>
      <c r="O38">
        <f>MONTH(Table2[[#This Row],[OrderDate]])</f>
        <v>1</v>
      </c>
      <c r="P38" t="str">
        <f>TEXT(Table2[[#This Row],[OrderDate]],"mmm")</f>
        <v>Jan</v>
      </c>
    </row>
    <row r="39" spans="1:16" x14ac:dyDescent="0.35">
      <c r="A39">
        <v>1038</v>
      </c>
      <c r="B39" t="s">
        <v>129</v>
      </c>
      <c r="C39" t="s">
        <v>75</v>
      </c>
      <c r="D39">
        <v>1</v>
      </c>
      <c r="E39" s="1">
        <v>45321</v>
      </c>
      <c r="F39">
        <v>600</v>
      </c>
      <c r="G39" t="str">
        <f>VLOOKUP(project!$B39,Customer!$A$1:$C$41,MATCH(Customer!B$1,Customer!$A$1:$C$1,0),FALSE)</f>
        <v>Amit Mehta</v>
      </c>
      <c r="H39" t="str">
        <f>VLOOKUP(project!$B39,Customer!$A$1:$C$41,MATCH(Customer!C$1,Customer!$A$1:$C$1,0),FALSE)</f>
        <v>South</v>
      </c>
      <c r="I39" t="str">
        <f>VLOOKUP(project!$C39,Product_table!$A$1:$D$31,MATCH(Product_table!B$1,Product_table!$A$1:$D$1,0))</f>
        <v>HP Laptop 15</v>
      </c>
      <c r="J39" t="str">
        <f>VLOOKUP(project!$C39,Product_table!$A$1:$D$31,MATCH(Product_table!C$1,Product_table!$A$1:$D$1,0))</f>
        <v>Electronics</v>
      </c>
      <c r="K39">
        <f>VLOOKUP(project!$C39,Product_table!$A$1:$D$31,MATCH(Product_table!D$1,Product_table!$A$1:$D$1,0))</f>
        <v>58000</v>
      </c>
      <c r="L39">
        <f>Table2[[#This Row],[Price]]*Table2[[#This Row],[Quantity]]</f>
        <v>58000</v>
      </c>
      <c r="M39">
        <f>Table2[[#This Row],[Profit]]/Table2[[#This Row],[Salse]]</f>
        <v>1.0344827586206896E-2</v>
      </c>
      <c r="N39">
        <f>YEAR(Table2[[#This Row],[OrderDate]])</f>
        <v>2024</v>
      </c>
      <c r="O39">
        <f>MONTH(Table2[[#This Row],[OrderDate]])</f>
        <v>1</v>
      </c>
      <c r="P39" t="str">
        <f>TEXT(Table2[[#This Row],[OrderDate]],"mmm")</f>
        <v>Jan</v>
      </c>
    </row>
    <row r="40" spans="1:16" x14ac:dyDescent="0.35">
      <c r="A40">
        <v>1039</v>
      </c>
      <c r="B40" t="s">
        <v>130</v>
      </c>
      <c r="C40" t="s">
        <v>77</v>
      </c>
      <c r="D40">
        <v>2</v>
      </c>
      <c r="E40" s="1">
        <v>45321</v>
      </c>
      <c r="F40">
        <v>900</v>
      </c>
      <c r="G40" t="str">
        <f>VLOOKUP(project!$B40,Customer!$A$1:$C$41,MATCH(Customer!B$1,Customer!$A$1:$C$1,0),FALSE)</f>
        <v>Tanvi Shah</v>
      </c>
      <c r="H40" t="str">
        <f>VLOOKUP(project!$B40,Customer!$A$1:$C$41,MATCH(Customer!C$1,Customer!$A$1:$C$1,0),FALSE)</f>
        <v>West</v>
      </c>
      <c r="I40" t="str">
        <f>VLOOKUP(project!$C40,Product_table!$A$1:$D$31,MATCH(Product_table!B$1,Product_table!$A$1:$D$1,0))</f>
        <v>Noise Headphones</v>
      </c>
      <c r="J40" t="str">
        <f>VLOOKUP(project!$C40,Product_table!$A$1:$D$31,MATCH(Product_table!C$1,Product_table!$A$1:$D$1,0))</f>
        <v>Accessories</v>
      </c>
      <c r="K40">
        <f>VLOOKUP(project!$C40,Product_table!$A$1:$D$31,MATCH(Product_table!D$1,Product_table!$A$1:$D$1,0))</f>
        <v>1999</v>
      </c>
      <c r="L40">
        <f>Table2[[#This Row],[Price]]*Table2[[#This Row],[Quantity]]</f>
        <v>3998</v>
      </c>
      <c r="M40">
        <f>Table2[[#This Row],[Profit]]/Table2[[#This Row],[Salse]]</f>
        <v>0.22511255627813906</v>
      </c>
      <c r="N40">
        <f>YEAR(Table2[[#This Row],[OrderDate]])</f>
        <v>2024</v>
      </c>
      <c r="O40">
        <f>MONTH(Table2[[#This Row],[OrderDate]])</f>
        <v>1</v>
      </c>
      <c r="P40" t="str">
        <f>TEXT(Table2[[#This Row],[OrderDate]],"mmm")</f>
        <v>Jan</v>
      </c>
    </row>
    <row r="41" spans="1:16" x14ac:dyDescent="0.35">
      <c r="A41">
        <v>1040</v>
      </c>
      <c r="B41" t="s">
        <v>131</v>
      </c>
      <c r="C41" t="s">
        <v>118</v>
      </c>
      <c r="D41">
        <v>1</v>
      </c>
      <c r="E41" s="1">
        <v>45322</v>
      </c>
      <c r="F41">
        <v>1900</v>
      </c>
      <c r="G41" t="str">
        <f>VLOOKUP(project!$B41,Customer!$A$1:$C$41,MATCH(Customer!B$1,Customer!$A$1:$C$1,0),FALSE)</f>
        <v>Siddharth Jain</v>
      </c>
      <c r="H41" t="str">
        <f>VLOOKUP(project!$B41,Customer!$A$1:$C$41,MATCH(Customer!C$1,Customer!$A$1:$C$1,0),FALSE)</f>
        <v>East</v>
      </c>
      <c r="I41" t="str">
        <f>VLOOKUP(project!$C41,Product_table!$A$1:$D$31,MATCH(Product_table!B$1,Product_table!$A$1:$D$1,0))</f>
        <v>Gaming Mouse</v>
      </c>
      <c r="J41" t="str">
        <f>VLOOKUP(project!$C41,Product_table!$A$1:$D$31,MATCH(Product_table!C$1,Product_table!$A$1:$D$1,0))</f>
        <v>Electronics</v>
      </c>
      <c r="K41">
        <f>VLOOKUP(project!$C41,Product_table!$A$1:$D$31,MATCH(Product_table!D$1,Product_table!$A$1:$D$1,0))</f>
        <v>1999</v>
      </c>
      <c r="L41">
        <f>Table2[[#This Row],[Price]]*Table2[[#This Row],[Quantity]]</f>
        <v>1999</v>
      </c>
      <c r="M41">
        <f>Table2[[#This Row],[Profit]]/Table2[[#This Row],[Salse]]</f>
        <v>0.95047523761880937</v>
      </c>
      <c r="N41">
        <f>YEAR(Table2[[#This Row],[OrderDate]])</f>
        <v>2024</v>
      </c>
      <c r="O41">
        <f>MONTH(Table2[[#This Row],[OrderDate]])</f>
        <v>1</v>
      </c>
      <c r="P41" t="str">
        <f>TEXT(Table2[[#This Row],[OrderDate]],"mmm")</f>
        <v>Jan</v>
      </c>
    </row>
    <row r="42" spans="1:16" x14ac:dyDescent="0.35">
      <c r="A42">
        <v>1041</v>
      </c>
      <c r="B42" t="s">
        <v>68</v>
      </c>
      <c r="C42" t="s">
        <v>77</v>
      </c>
      <c r="D42">
        <v>1</v>
      </c>
      <c r="E42" s="1">
        <v>45323</v>
      </c>
      <c r="F42">
        <v>15000</v>
      </c>
      <c r="G42" t="str">
        <f>VLOOKUP(project!$B42,Customer!$A$1:$C$41,MATCH(Customer!B$1,Customer!$A$1:$C$1,0),FALSE)</f>
        <v>Rohit Sharma</v>
      </c>
      <c r="H42" t="str">
        <f>VLOOKUP(project!$B42,Customer!$A$1:$C$41,MATCH(Customer!C$1,Customer!$A$1:$C$1,0),FALSE)</f>
        <v>North</v>
      </c>
      <c r="I42" t="str">
        <f>VLOOKUP(project!$C42,Product_table!$A$1:$D$31,MATCH(Product_table!B$1,Product_table!$A$1:$D$1,0))</f>
        <v>Noise Headphones</v>
      </c>
      <c r="J42" t="str">
        <f>VLOOKUP(project!$C42,Product_table!$A$1:$D$31,MATCH(Product_table!C$1,Product_table!$A$1:$D$1,0))</f>
        <v>Accessories</v>
      </c>
      <c r="K42">
        <f>VLOOKUP(project!$C42,Product_table!$A$1:$D$31,MATCH(Product_table!D$1,Product_table!$A$1:$D$1,0))</f>
        <v>1999</v>
      </c>
      <c r="L42">
        <f>Table2[[#This Row],[Price]]*Table2[[#This Row],[Quantity]]</f>
        <v>1999</v>
      </c>
      <c r="M42">
        <f>Table2[[#This Row],[Profit]]/Table2[[#This Row],[Salse]]</f>
        <v>7.5037518759379687</v>
      </c>
      <c r="N42">
        <f>YEAR(Table2[[#This Row],[OrderDate]])</f>
        <v>2024</v>
      </c>
      <c r="O42">
        <f>MONTH(Table2[[#This Row],[OrderDate]])</f>
        <v>2</v>
      </c>
      <c r="P42" t="str">
        <f>TEXT(Table2[[#This Row],[OrderDate]],"mmm")</f>
        <v>Feb</v>
      </c>
    </row>
    <row r="43" spans="1:16" x14ac:dyDescent="0.35">
      <c r="A43">
        <v>1042</v>
      </c>
      <c r="B43" t="s">
        <v>70</v>
      </c>
      <c r="C43" t="s">
        <v>71</v>
      </c>
      <c r="D43">
        <v>1</v>
      </c>
      <c r="E43" s="1">
        <v>45324</v>
      </c>
      <c r="F43">
        <v>1200</v>
      </c>
      <c r="G43" t="str">
        <f>VLOOKUP(project!$B43,Customer!$A$1:$C$41,MATCH(Customer!B$1,Customer!$A$1:$C$1,0),FALSE)</f>
        <v>Neha Verma</v>
      </c>
      <c r="H43" t="str">
        <f>VLOOKUP(project!$B43,Customer!$A$1:$C$41,MATCH(Customer!C$1,Customer!$A$1:$C$1,0),FALSE)</f>
        <v>South</v>
      </c>
      <c r="I43" t="str">
        <f>VLOOKUP(project!$C43,Product_table!$A$1:$D$31,MATCH(Product_table!B$1,Product_table!$A$1:$D$1,0))</f>
        <v>Boat Speakers</v>
      </c>
      <c r="J43" t="str">
        <f>VLOOKUP(project!$C43,Product_table!$A$1:$D$31,MATCH(Product_table!C$1,Product_table!$A$1:$D$1,0))</f>
        <v>Electronics</v>
      </c>
      <c r="K43">
        <f>VLOOKUP(project!$C43,Product_table!$A$1:$D$31,MATCH(Product_table!D$1,Product_table!$A$1:$D$1,0))</f>
        <v>3500</v>
      </c>
      <c r="L43">
        <f>Table2[[#This Row],[Price]]*Table2[[#This Row],[Quantity]]</f>
        <v>3500</v>
      </c>
      <c r="M43">
        <f>Table2[[#This Row],[Profit]]/Table2[[#This Row],[Salse]]</f>
        <v>0.34285714285714286</v>
      </c>
      <c r="N43">
        <f>YEAR(Table2[[#This Row],[OrderDate]])</f>
        <v>2024</v>
      </c>
      <c r="O43">
        <f>MONTH(Table2[[#This Row],[OrderDate]])</f>
        <v>2</v>
      </c>
      <c r="P43" t="str">
        <f>TEXT(Table2[[#This Row],[OrderDate]],"mmm")</f>
        <v>Feb</v>
      </c>
    </row>
    <row r="44" spans="1:16" x14ac:dyDescent="0.35">
      <c r="A44">
        <v>1043</v>
      </c>
      <c r="B44" t="s">
        <v>72</v>
      </c>
      <c r="C44" t="s">
        <v>75</v>
      </c>
      <c r="D44">
        <v>2</v>
      </c>
      <c r="E44" s="1">
        <v>45325</v>
      </c>
      <c r="F44">
        <v>2000</v>
      </c>
      <c r="G44" t="str">
        <f>VLOOKUP(project!$B44,Customer!$A$1:$C$41,MATCH(Customer!B$1,Customer!$A$1:$C$1,0),FALSE)</f>
        <v>Aman Gupta</v>
      </c>
      <c r="H44" t="str">
        <f>VLOOKUP(project!$B44,Customer!$A$1:$C$41,MATCH(Customer!C$1,Customer!$A$1:$C$1,0),FALSE)</f>
        <v>West</v>
      </c>
      <c r="I44" t="str">
        <f>VLOOKUP(project!$C44,Product_table!$A$1:$D$31,MATCH(Product_table!B$1,Product_table!$A$1:$D$1,0))</f>
        <v>HP Laptop 15</v>
      </c>
      <c r="J44" t="str">
        <f>VLOOKUP(project!$C44,Product_table!$A$1:$D$31,MATCH(Product_table!C$1,Product_table!$A$1:$D$1,0))</f>
        <v>Electronics</v>
      </c>
      <c r="K44">
        <f>VLOOKUP(project!$C44,Product_table!$A$1:$D$31,MATCH(Product_table!D$1,Product_table!$A$1:$D$1,0))</f>
        <v>58000</v>
      </c>
      <c r="L44">
        <f>Table2[[#This Row],[Price]]*Table2[[#This Row],[Quantity]]</f>
        <v>116000</v>
      </c>
      <c r="M44">
        <f>Table2[[#This Row],[Profit]]/Table2[[#This Row],[Salse]]</f>
        <v>1.7241379310344827E-2</v>
      </c>
      <c r="N44">
        <f>YEAR(Table2[[#This Row],[OrderDate]])</f>
        <v>2024</v>
      </c>
      <c r="O44">
        <f>MONTH(Table2[[#This Row],[OrderDate]])</f>
        <v>2</v>
      </c>
      <c r="P44" t="str">
        <f>TEXT(Table2[[#This Row],[OrderDate]],"mmm")</f>
        <v>Feb</v>
      </c>
    </row>
    <row r="45" spans="1:16" x14ac:dyDescent="0.35">
      <c r="A45">
        <v>1044</v>
      </c>
      <c r="B45" t="s">
        <v>74</v>
      </c>
      <c r="C45" t="s">
        <v>69</v>
      </c>
      <c r="D45">
        <v>1</v>
      </c>
      <c r="E45" s="1">
        <v>45326</v>
      </c>
      <c r="F45">
        <v>2000</v>
      </c>
      <c r="G45" t="str">
        <f>VLOOKUP(project!$B45,Customer!$A$1:$C$41,MATCH(Customer!B$1,Customer!$A$1:$C$1,0),FALSE)</f>
        <v>Pooja Patil</v>
      </c>
      <c r="H45" t="str">
        <f>VLOOKUP(project!$B45,Customer!$A$1:$C$41,MATCH(Customer!C$1,Customer!$A$1:$C$1,0),FALSE)</f>
        <v>East</v>
      </c>
      <c r="I45" t="str">
        <f>VLOOKUP(project!$C45,Product_table!$A$1:$D$31,MATCH(Product_table!B$1,Product_table!$A$1:$D$1,0))</f>
        <v>Amazon Echo Dot</v>
      </c>
      <c r="J45" t="str">
        <f>VLOOKUP(project!$C45,Product_table!$A$1:$D$31,MATCH(Product_table!C$1,Product_table!$A$1:$D$1,0))</f>
        <v>Electronics</v>
      </c>
      <c r="K45">
        <f>VLOOKUP(project!$C45,Product_table!$A$1:$D$31,MATCH(Product_table!D$1,Product_table!$A$1:$D$1,0))</f>
        <v>4500</v>
      </c>
      <c r="L45">
        <f>Table2[[#This Row],[Price]]*Table2[[#This Row],[Quantity]]</f>
        <v>4500</v>
      </c>
      <c r="M45">
        <f>Table2[[#This Row],[Profit]]/Table2[[#This Row],[Salse]]</f>
        <v>0.44444444444444442</v>
      </c>
      <c r="N45">
        <f>YEAR(Table2[[#This Row],[OrderDate]])</f>
        <v>2024</v>
      </c>
      <c r="O45">
        <f>MONTH(Table2[[#This Row],[OrderDate]])</f>
        <v>2</v>
      </c>
      <c r="P45" t="str">
        <f>TEXT(Table2[[#This Row],[OrderDate]],"mmm")</f>
        <v>Feb</v>
      </c>
    </row>
    <row r="46" spans="1:16" x14ac:dyDescent="0.35">
      <c r="A46">
        <v>1045</v>
      </c>
      <c r="B46" t="s">
        <v>76</v>
      </c>
      <c r="C46" t="s">
        <v>88</v>
      </c>
      <c r="D46">
        <v>1</v>
      </c>
      <c r="E46" s="1">
        <v>45327</v>
      </c>
      <c r="F46">
        <v>300</v>
      </c>
      <c r="G46" t="str">
        <f>VLOOKUP(project!$B46,Customer!$A$1:$C$41,MATCH(Customer!B$1,Customer!$A$1:$C$1,0),FALSE)</f>
        <v>Ali Khan</v>
      </c>
      <c r="H46" t="str">
        <f>VLOOKUP(project!$B46,Customer!$A$1:$C$41,MATCH(Customer!C$1,Customer!$A$1:$C$1,0),FALSE)</f>
        <v>North</v>
      </c>
      <c r="I46" t="str">
        <f>VLOOKUP(project!$C46,Product_table!$A$1:$D$31,MATCH(Product_table!B$1,Product_table!$A$1:$D$1,0))</f>
        <v>Office Desk</v>
      </c>
      <c r="J46" t="str">
        <f>VLOOKUP(project!$C46,Product_table!$A$1:$D$31,MATCH(Product_table!C$1,Product_table!$A$1:$D$1,0))</f>
        <v>Furniture</v>
      </c>
      <c r="K46">
        <f>VLOOKUP(project!$C46,Product_table!$A$1:$D$31,MATCH(Product_table!D$1,Product_table!$A$1:$D$1,0))</f>
        <v>8500</v>
      </c>
      <c r="L46">
        <f>Table2[[#This Row],[Price]]*Table2[[#This Row],[Quantity]]</f>
        <v>8500</v>
      </c>
      <c r="M46">
        <f>Table2[[#This Row],[Profit]]/Table2[[#This Row],[Salse]]</f>
        <v>3.5294117647058823E-2</v>
      </c>
      <c r="N46">
        <f>YEAR(Table2[[#This Row],[OrderDate]])</f>
        <v>2024</v>
      </c>
      <c r="O46">
        <f>MONTH(Table2[[#This Row],[OrderDate]])</f>
        <v>2</v>
      </c>
      <c r="P46" t="str">
        <f>TEXT(Table2[[#This Row],[OrderDate]],"mmm")</f>
        <v>Feb</v>
      </c>
    </row>
    <row r="47" spans="1:16" x14ac:dyDescent="0.35">
      <c r="A47">
        <v>1046</v>
      </c>
      <c r="B47" t="s">
        <v>78</v>
      </c>
      <c r="C47" t="s">
        <v>79</v>
      </c>
      <c r="D47">
        <v>5</v>
      </c>
      <c r="E47" s="1">
        <v>45328</v>
      </c>
      <c r="F47">
        <v>2500</v>
      </c>
      <c r="G47" t="str">
        <f>VLOOKUP(project!$B47,Customer!$A$1:$C$41,MATCH(Customer!B$1,Customer!$A$1:$C$1,0),FALSE)</f>
        <v>Sonali Desai</v>
      </c>
      <c r="H47" t="str">
        <f>VLOOKUP(project!$B47,Customer!$A$1:$C$41,MATCH(Customer!C$1,Customer!$A$1:$C$1,0),FALSE)</f>
        <v>South</v>
      </c>
      <c r="I47" t="str">
        <f>VLOOKUP(project!$C47,Product_table!$A$1:$D$31,MATCH(Product_table!B$1,Product_table!$A$1:$D$1,0))</f>
        <v>Mobile Back Cover</v>
      </c>
      <c r="J47" t="str">
        <f>VLOOKUP(project!$C47,Product_table!$A$1:$D$31,MATCH(Product_table!C$1,Product_table!$A$1:$D$1,0))</f>
        <v>Accessories</v>
      </c>
      <c r="K47">
        <f>VLOOKUP(project!$C47,Product_table!$A$1:$D$31,MATCH(Product_table!D$1,Product_table!$A$1:$D$1,0))</f>
        <v>299</v>
      </c>
      <c r="L47">
        <f>Table2[[#This Row],[Price]]*Table2[[#This Row],[Quantity]]</f>
        <v>1495</v>
      </c>
      <c r="M47">
        <f>Table2[[#This Row],[Profit]]/Table2[[#This Row],[Salse]]</f>
        <v>1.6722408026755853</v>
      </c>
      <c r="N47">
        <f>YEAR(Table2[[#This Row],[OrderDate]])</f>
        <v>2024</v>
      </c>
      <c r="O47">
        <f>MONTH(Table2[[#This Row],[OrderDate]])</f>
        <v>2</v>
      </c>
      <c r="P47" t="str">
        <f>TEXT(Table2[[#This Row],[OrderDate]],"mmm")</f>
        <v>Feb</v>
      </c>
    </row>
    <row r="48" spans="1:16" x14ac:dyDescent="0.35">
      <c r="A48">
        <v>1047</v>
      </c>
      <c r="B48" t="s">
        <v>80</v>
      </c>
      <c r="C48" t="s">
        <v>91</v>
      </c>
      <c r="D48">
        <v>1</v>
      </c>
      <c r="E48" s="1">
        <v>45329</v>
      </c>
      <c r="F48">
        <v>800</v>
      </c>
      <c r="G48" t="str">
        <f>VLOOKUP(project!$B48,Customer!$A$1:$C$41,MATCH(Customer!B$1,Customer!$A$1:$C$1,0),FALSE)</f>
        <v>Manish Jain</v>
      </c>
      <c r="H48" t="str">
        <f>VLOOKUP(project!$B48,Customer!$A$1:$C$41,MATCH(Customer!C$1,Customer!$A$1:$C$1,0),FALSE)</f>
        <v>West</v>
      </c>
      <c r="I48" t="str">
        <f>VLOOKUP(project!$C48,Product_table!$A$1:$D$31,MATCH(Product_table!B$1,Product_table!$A$1:$D$1,0))</f>
        <v>Pen Drive 64GB</v>
      </c>
      <c r="J48" t="str">
        <f>VLOOKUP(project!$C48,Product_table!$A$1:$D$31,MATCH(Product_table!C$1,Product_table!$A$1:$D$1,0))</f>
        <v>Electronics</v>
      </c>
      <c r="K48">
        <f>VLOOKUP(project!$C48,Product_table!$A$1:$D$31,MATCH(Product_table!D$1,Product_table!$A$1:$D$1,0))</f>
        <v>799</v>
      </c>
      <c r="L48">
        <f>Table2[[#This Row],[Price]]*Table2[[#This Row],[Quantity]]</f>
        <v>799</v>
      </c>
      <c r="M48">
        <f>Table2[[#This Row],[Profit]]/Table2[[#This Row],[Salse]]</f>
        <v>1.0012515644555695</v>
      </c>
      <c r="N48">
        <f>YEAR(Table2[[#This Row],[OrderDate]])</f>
        <v>2024</v>
      </c>
      <c r="O48">
        <f>MONTH(Table2[[#This Row],[OrderDate]])</f>
        <v>2</v>
      </c>
      <c r="P48" t="str">
        <f>TEXT(Table2[[#This Row],[OrderDate]],"mmm")</f>
        <v>Feb</v>
      </c>
    </row>
    <row r="49" spans="1:16" x14ac:dyDescent="0.35">
      <c r="A49">
        <v>1048</v>
      </c>
      <c r="B49" t="s">
        <v>82</v>
      </c>
      <c r="C49" t="s">
        <v>118</v>
      </c>
      <c r="D49">
        <v>1</v>
      </c>
      <c r="E49" s="1">
        <v>45330</v>
      </c>
      <c r="F49">
        <v>700</v>
      </c>
      <c r="G49" t="str">
        <f>VLOOKUP(project!$B49,Customer!$A$1:$C$41,MATCH(Customer!B$1,Customer!$A$1:$C$1,0),FALSE)</f>
        <v>Asha Singh</v>
      </c>
      <c r="H49" t="str">
        <f>VLOOKUP(project!$B49,Customer!$A$1:$C$41,MATCH(Customer!C$1,Customer!$A$1:$C$1,0),FALSE)</f>
        <v>East</v>
      </c>
      <c r="I49" t="str">
        <f>VLOOKUP(project!$C49,Product_table!$A$1:$D$31,MATCH(Product_table!B$1,Product_table!$A$1:$D$1,0))</f>
        <v>Gaming Mouse</v>
      </c>
      <c r="J49" t="str">
        <f>VLOOKUP(project!$C49,Product_table!$A$1:$D$31,MATCH(Product_table!C$1,Product_table!$A$1:$D$1,0))</f>
        <v>Electronics</v>
      </c>
      <c r="K49">
        <f>VLOOKUP(project!$C49,Product_table!$A$1:$D$31,MATCH(Product_table!D$1,Product_table!$A$1:$D$1,0))</f>
        <v>1999</v>
      </c>
      <c r="L49">
        <f>Table2[[#This Row],[Price]]*Table2[[#This Row],[Quantity]]</f>
        <v>1999</v>
      </c>
      <c r="M49">
        <f>Table2[[#This Row],[Profit]]/Table2[[#This Row],[Salse]]</f>
        <v>0.35017508754377191</v>
      </c>
      <c r="N49">
        <f>YEAR(Table2[[#This Row],[OrderDate]])</f>
        <v>2024</v>
      </c>
      <c r="O49">
        <f>MONTH(Table2[[#This Row],[OrderDate]])</f>
        <v>2</v>
      </c>
      <c r="P49" t="str">
        <f>TEXT(Table2[[#This Row],[OrderDate]],"mmm")</f>
        <v>Feb</v>
      </c>
    </row>
    <row r="50" spans="1:16" x14ac:dyDescent="0.35">
      <c r="A50">
        <v>1049</v>
      </c>
      <c r="B50" t="s">
        <v>84</v>
      </c>
      <c r="C50" t="s">
        <v>81</v>
      </c>
      <c r="D50">
        <v>2</v>
      </c>
      <c r="E50" s="1">
        <v>45331</v>
      </c>
      <c r="F50">
        <v>800</v>
      </c>
      <c r="G50" t="str">
        <f>VLOOKUP(project!$B50,Customer!$A$1:$C$41,MATCH(Customer!B$1,Customer!$A$1:$C$1,0),FALSE)</f>
        <v>Varun Mehta</v>
      </c>
      <c r="H50" t="str">
        <f>VLOOKUP(project!$B50,Customer!$A$1:$C$41,MATCH(Customer!C$1,Customer!$A$1:$C$1,0),FALSE)</f>
        <v>North</v>
      </c>
      <c r="I50" t="str">
        <f>VLOOKUP(project!$C50,Product_table!$A$1:$D$31,MATCH(Product_table!B$1,Product_table!$A$1:$D$1,0))</f>
        <v>Smartwatch Pro</v>
      </c>
      <c r="J50" t="str">
        <f>VLOOKUP(project!$C50,Product_table!$A$1:$D$31,MATCH(Product_table!C$1,Product_table!$A$1:$D$1,0))</f>
        <v>Electronics</v>
      </c>
      <c r="K50">
        <f>VLOOKUP(project!$C50,Product_table!$A$1:$D$31,MATCH(Product_table!D$1,Product_table!$A$1:$D$1,0))</f>
        <v>4500</v>
      </c>
      <c r="L50">
        <f>Table2[[#This Row],[Price]]*Table2[[#This Row],[Quantity]]</f>
        <v>9000</v>
      </c>
      <c r="M50">
        <f>Table2[[#This Row],[Profit]]/Table2[[#This Row],[Salse]]</f>
        <v>8.8888888888888892E-2</v>
      </c>
      <c r="N50">
        <f>YEAR(Table2[[#This Row],[OrderDate]])</f>
        <v>2024</v>
      </c>
      <c r="O50">
        <f>MONTH(Table2[[#This Row],[OrderDate]])</f>
        <v>2</v>
      </c>
      <c r="P50" t="str">
        <f>TEXT(Table2[[#This Row],[OrderDate]],"mmm")</f>
        <v>Feb</v>
      </c>
    </row>
    <row r="51" spans="1:16" x14ac:dyDescent="0.35">
      <c r="A51">
        <v>1050</v>
      </c>
      <c r="B51" t="s">
        <v>85</v>
      </c>
      <c r="C51" t="s">
        <v>71</v>
      </c>
      <c r="D51">
        <v>1</v>
      </c>
      <c r="E51" s="1">
        <v>45332</v>
      </c>
      <c r="F51">
        <v>900</v>
      </c>
      <c r="G51" t="str">
        <f>VLOOKUP(project!$B51,Customer!$A$1:$C$41,MATCH(Customer!B$1,Customer!$A$1:$C$1,0),FALSE)</f>
        <v>Deepa Reddy</v>
      </c>
      <c r="H51" t="str">
        <f>VLOOKUP(project!$B51,Customer!$A$1:$C$41,MATCH(Customer!C$1,Customer!$A$1:$C$1,0),FALSE)</f>
        <v>South</v>
      </c>
      <c r="I51" t="str">
        <f>VLOOKUP(project!$C51,Product_table!$A$1:$D$31,MATCH(Product_table!B$1,Product_table!$A$1:$D$1,0))</f>
        <v>Boat Speakers</v>
      </c>
      <c r="J51" t="str">
        <f>VLOOKUP(project!$C51,Product_table!$A$1:$D$31,MATCH(Product_table!C$1,Product_table!$A$1:$D$1,0))</f>
        <v>Electronics</v>
      </c>
      <c r="K51">
        <f>VLOOKUP(project!$C51,Product_table!$A$1:$D$31,MATCH(Product_table!D$1,Product_table!$A$1:$D$1,0))</f>
        <v>3500</v>
      </c>
      <c r="L51">
        <f>Table2[[#This Row],[Price]]*Table2[[#This Row],[Quantity]]</f>
        <v>3500</v>
      </c>
      <c r="M51">
        <f>Table2[[#This Row],[Profit]]/Table2[[#This Row],[Salse]]</f>
        <v>0.25714285714285712</v>
      </c>
      <c r="N51">
        <f>YEAR(Table2[[#This Row],[OrderDate]])</f>
        <v>2024</v>
      </c>
      <c r="O51">
        <f>MONTH(Table2[[#This Row],[OrderDate]])</f>
        <v>2</v>
      </c>
      <c r="P51" t="str">
        <f>TEXT(Table2[[#This Row],[OrderDate]],"mmm")</f>
        <v>Feb</v>
      </c>
    </row>
    <row r="52" spans="1:16" x14ac:dyDescent="0.35">
      <c r="A52">
        <v>1051</v>
      </c>
      <c r="B52" t="s">
        <v>89</v>
      </c>
      <c r="C52" t="s">
        <v>112</v>
      </c>
      <c r="D52">
        <v>3</v>
      </c>
      <c r="E52" s="1">
        <v>45333</v>
      </c>
      <c r="F52">
        <v>1800</v>
      </c>
      <c r="G52" t="str">
        <f>VLOOKUP(project!$B52,Customer!$A$1:$C$41,MATCH(Customer!B$1,Customer!$A$1:$C$1,0),FALSE)</f>
        <v>Rajat Singh</v>
      </c>
      <c r="H52" t="str">
        <f>VLOOKUP(project!$B52,Customer!$A$1:$C$41,MATCH(Customer!C$1,Customer!$A$1:$C$1,0),FALSE)</f>
        <v>East</v>
      </c>
      <c r="I52" t="str">
        <f>VLOOKUP(project!$C52,Product_table!$A$1:$D$31,MATCH(Product_table!B$1,Product_table!$A$1:$D$1,0))</f>
        <v>USB Cable</v>
      </c>
      <c r="J52" t="str">
        <f>VLOOKUP(project!$C52,Product_table!$A$1:$D$31,MATCH(Product_table!C$1,Product_table!$A$1:$D$1,0))</f>
        <v>Accessories</v>
      </c>
      <c r="K52">
        <f>VLOOKUP(project!$C52,Product_table!$A$1:$D$31,MATCH(Product_table!D$1,Product_table!$A$1:$D$1,0))</f>
        <v>249</v>
      </c>
      <c r="L52">
        <f>Table2[[#This Row],[Price]]*Table2[[#This Row],[Quantity]]</f>
        <v>747</v>
      </c>
      <c r="M52">
        <f>Table2[[#This Row],[Profit]]/Table2[[#This Row],[Salse]]</f>
        <v>2.4096385542168677</v>
      </c>
      <c r="N52">
        <f>YEAR(Table2[[#This Row],[OrderDate]])</f>
        <v>2024</v>
      </c>
      <c r="O52">
        <f>MONTH(Table2[[#This Row],[OrderDate]])</f>
        <v>2</v>
      </c>
      <c r="P52" t="str">
        <f>TEXT(Table2[[#This Row],[OrderDate]],"mmm")</f>
        <v>Feb</v>
      </c>
    </row>
    <row r="53" spans="1:16" x14ac:dyDescent="0.35">
      <c r="A53">
        <v>1052</v>
      </c>
      <c r="B53" t="s">
        <v>90</v>
      </c>
      <c r="C53" t="s">
        <v>86</v>
      </c>
      <c r="D53">
        <v>1</v>
      </c>
      <c r="E53" s="1">
        <v>45334</v>
      </c>
      <c r="F53">
        <v>1000</v>
      </c>
      <c r="G53" t="str">
        <f>VLOOKUP(project!$B53,Customer!$A$1:$C$41,MATCH(Customer!B$1,Customer!$A$1:$C$1,0),FALSE)</f>
        <v>Shruti Nair</v>
      </c>
      <c r="H53" t="str">
        <f>VLOOKUP(project!$B53,Customer!$A$1:$C$41,MATCH(Customer!C$1,Customer!$A$1:$C$1,0),FALSE)</f>
        <v>North</v>
      </c>
      <c r="I53" t="str">
        <f>VLOOKUP(project!$C53,Product_table!$A$1:$D$31,MATCH(Product_table!B$1,Product_table!$A$1:$D$1,0))</f>
        <v>Comfort Chair</v>
      </c>
      <c r="J53" t="str">
        <f>VLOOKUP(project!$C53,Product_table!$A$1:$D$31,MATCH(Product_table!C$1,Product_table!$A$1:$D$1,0))</f>
        <v>Furniture</v>
      </c>
      <c r="K53">
        <f>VLOOKUP(project!$C53,Product_table!$A$1:$D$31,MATCH(Product_table!D$1,Product_table!$A$1:$D$1,0))</f>
        <v>5500</v>
      </c>
      <c r="L53">
        <f>Table2[[#This Row],[Price]]*Table2[[#This Row],[Quantity]]</f>
        <v>5500</v>
      </c>
      <c r="M53">
        <f>Table2[[#This Row],[Profit]]/Table2[[#This Row],[Salse]]</f>
        <v>0.18181818181818182</v>
      </c>
      <c r="N53">
        <f>YEAR(Table2[[#This Row],[OrderDate]])</f>
        <v>2024</v>
      </c>
      <c r="O53">
        <f>MONTH(Table2[[#This Row],[OrderDate]])</f>
        <v>2</v>
      </c>
      <c r="P53" t="str">
        <f>TEXT(Table2[[#This Row],[OrderDate]],"mmm")</f>
        <v>Feb</v>
      </c>
    </row>
    <row r="54" spans="1:16" x14ac:dyDescent="0.35">
      <c r="A54">
        <v>1053</v>
      </c>
      <c r="B54" t="s">
        <v>92</v>
      </c>
      <c r="C54" t="s">
        <v>77</v>
      </c>
      <c r="D54">
        <v>2</v>
      </c>
      <c r="E54" s="1">
        <v>45335</v>
      </c>
      <c r="F54">
        <v>14000</v>
      </c>
      <c r="G54" t="str">
        <f>VLOOKUP(project!$B54,Customer!$A$1:$C$41,MATCH(Customer!B$1,Customer!$A$1:$C$1,0),FALSE)</f>
        <v>Aadil Khan</v>
      </c>
      <c r="H54" t="str">
        <f>VLOOKUP(project!$B54,Customer!$A$1:$C$41,MATCH(Customer!C$1,Customer!$A$1:$C$1,0),FALSE)</f>
        <v>South</v>
      </c>
      <c r="I54" t="str">
        <f>VLOOKUP(project!$C54,Product_table!$A$1:$D$31,MATCH(Product_table!B$1,Product_table!$A$1:$D$1,0))</f>
        <v>Noise Headphones</v>
      </c>
      <c r="J54" t="str">
        <f>VLOOKUP(project!$C54,Product_table!$A$1:$D$31,MATCH(Product_table!C$1,Product_table!$A$1:$D$1,0))</f>
        <v>Accessories</v>
      </c>
      <c r="K54">
        <f>VLOOKUP(project!$C54,Product_table!$A$1:$D$31,MATCH(Product_table!D$1,Product_table!$A$1:$D$1,0))</f>
        <v>1999</v>
      </c>
      <c r="L54">
        <f>Table2[[#This Row],[Price]]*Table2[[#This Row],[Quantity]]</f>
        <v>3998</v>
      </c>
      <c r="M54">
        <f>Table2[[#This Row],[Profit]]/Table2[[#This Row],[Salse]]</f>
        <v>3.5017508754377187</v>
      </c>
      <c r="N54">
        <f>YEAR(Table2[[#This Row],[OrderDate]])</f>
        <v>2024</v>
      </c>
      <c r="O54">
        <f>MONTH(Table2[[#This Row],[OrderDate]])</f>
        <v>2</v>
      </c>
      <c r="P54" t="str">
        <f>TEXT(Table2[[#This Row],[OrderDate]],"mmm")</f>
        <v>Feb</v>
      </c>
    </row>
    <row r="55" spans="1:16" x14ac:dyDescent="0.35">
      <c r="A55">
        <v>1054</v>
      </c>
      <c r="B55" t="s">
        <v>94</v>
      </c>
      <c r="C55" t="s">
        <v>96</v>
      </c>
      <c r="D55">
        <v>2</v>
      </c>
      <c r="E55" s="1">
        <v>45336</v>
      </c>
      <c r="F55">
        <v>350</v>
      </c>
      <c r="G55" t="str">
        <f>VLOOKUP(project!$B55,Customer!$A$1:$C$41,MATCH(Customer!B$1,Customer!$A$1:$C$1,0),FALSE)</f>
        <v>Monica Shah</v>
      </c>
      <c r="H55" t="str">
        <f>VLOOKUP(project!$B55,Customer!$A$1:$C$41,MATCH(Customer!C$1,Customer!$A$1:$C$1,0),FALSE)</f>
        <v>West</v>
      </c>
      <c r="I55" t="str">
        <f>VLOOKUP(project!$C55,Product_table!$A$1:$D$31,MATCH(Product_table!B$1,Product_table!$A$1:$D$1,0))</f>
        <v>Laptop Stand</v>
      </c>
      <c r="J55" t="str">
        <f>VLOOKUP(project!$C55,Product_table!$A$1:$D$31,MATCH(Product_table!C$1,Product_table!$A$1:$D$1,0))</f>
        <v>Accessories</v>
      </c>
      <c r="K55">
        <f>VLOOKUP(project!$C55,Product_table!$A$1:$D$31,MATCH(Product_table!D$1,Product_table!$A$1:$D$1,0))</f>
        <v>899</v>
      </c>
      <c r="L55">
        <f>Table2[[#This Row],[Price]]*Table2[[#This Row],[Quantity]]</f>
        <v>1798</v>
      </c>
      <c r="M55">
        <f>Table2[[#This Row],[Profit]]/Table2[[#This Row],[Salse]]</f>
        <v>0.19466073414905449</v>
      </c>
      <c r="N55">
        <f>YEAR(Table2[[#This Row],[OrderDate]])</f>
        <v>2024</v>
      </c>
      <c r="O55">
        <f>MONTH(Table2[[#This Row],[OrderDate]])</f>
        <v>2</v>
      </c>
      <c r="P55" t="str">
        <f>TEXT(Table2[[#This Row],[OrderDate]],"mmm")</f>
        <v>Feb</v>
      </c>
    </row>
    <row r="56" spans="1:16" x14ac:dyDescent="0.35">
      <c r="A56">
        <v>1055</v>
      </c>
      <c r="B56" t="s">
        <v>95</v>
      </c>
      <c r="C56" t="s">
        <v>120</v>
      </c>
      <c r="D56">
        <v>2</v>
      </c>
      <c r="E56" s="1">
        <v>45337</v>
      </c>
      <c r="F56">
        <v>200</v>
      </c>
      <c r="G56" t="str">
        <f>VLOOKUP(project!$B56,Customer!$A$1:$C$41,MATCH(Customer!B$1,Customer!$A$1:$C$1,0),FALSE)</f>
        <v>Rahul Jain</v>
      </c>
      <c r="H56" t="str">
        <f>VLOOKUP(project!$B56,Customer!$A$1:$C$41,MATCH(Customer!C$1,Customer!$A$1:$C$1,0),FALSE)</f>
        <v>East</v>
      </c>
      <c r="I56" t="str">
        <f>VLOOKUP(project!$C56,Product_table!$A$1:$D$31,MATCH(Product_table!B$1,Product_table!$A$1:$D$1,0))</f>
        <v>Wireless Mouse</v>
      </c>
      <c r="J56" t="str">
        <f>VLOOKUP(project!$C56,Product_table!$A$1:$D$31,MATCH(Product_table!C$1,Product_table!$A$1:$D$1,0))</f>
        <v>Accessories</v>
      </c>
      <c r="K56">
        <f>VLOOKUP(project!$C56,Product_table!$A$1:$D$31,MATCH(Product_table!D$1,Product_table!$A$1:$D$1,0))</f>
        <v>799</v>
      </c>
      <c r="L56">
        <f>Table2[[#This Row],[Price]]*Table2[[#This Row],[Quantity]]</f>
        <v>1598</v>
      </c>
      <c r="M56">
        <f>Table2[[#This Row],[Profit]]/Table2[[#This Row],[Salse]]</f>
        <v>0.12515644555694619</v>
      </c>
      <c r="N56">
        <f>YEAR(Table2[[#This Row],[OrderDate]])</f>
        <v>2024</v>
      </c>
      <c r="O56">
        <f>MONTH(Table2[[#This Row],[OrderDate]])</f>
        <v>2</v>
      </c>
      <c r="P56" t="str">
        <f>TEXT(Table2[[#This Row],[OrderDate]],"mmm")</f>
        <v>Feb</v>
      </c>
    </row>
    <row r="57" spans="1:16" x14ac:dyDescent="0.35">
      <c r="A57">
        <v>1056</v>
      </c>
      <c r="B57" t="s">
        <v>97</v>
      </c>
      <c r="C57" t="s">
        <v>77</v>
      </c>
      <c r="D57">
        <v>1</v>
      </c>
      <c r="E57" s="1">
        <v>45338</v>
      </c>
      <c r="F57">
        <v>850</v>
      </c>
      <c r="G57" t="str">
        <f>VLOOKUP(project!$B57,Customer!$A$1:$C$41,MATCH(Customer!B$1,Customer!$A$1:$C$1,0),FALSE)</f>
        <v>Jyoti Patil</v>
      </c>
      <c r="H57" t="str">
        <f>VLOOKUP(project!$B57,Customer!$A$1:$C$41,MATCH(Customer!C$1,Customer!$A$1:$C$1,0),FALSE)</f>
        <v>North</v>
      </c>
      <c r="I57" t="str">
        <f>VLOOKUP(project!$C57,Product_table!$A$1:$D$31,MATCH(Product_table!B$1,Product_table!$A$1:$D$1,0))</f>
        <v>Noise Headphones</v>
      </c>
      <c r="J57" t="str">
        <f>VLOOKUP(project!$C57,Product_table!$A$1:$D$31,MATCH(Product_table!C$1,Product_table!$A$1:$D$1,0))</f>
        <v>Accessories</v>
      </c>
      <c r="K57">
        <f>VLOOKUP(project!$C57,Product_table!$A$1:$D$31,MATCH(Product_table!D$1,Product_table!$A$1:$D$1,0))</f>
        <v>1999</v>
      </c>
      <c r="L57">
        <f>Table2[[#This Row],[Price]]*Table2[[#This Row],[Quantity]]</f>
        <v>1999</v>
      </c>
      <c r="M57">
        <f>Table2[[#This Row],[Profit]]/Table2[[#This Row],[Salse]]</f>
        <v>0.42521260630315155</v>
      </c>
      <c r="N57">
        <f>YEAR(Table2[[#This Row],[OrderDate]])</f>
        <v>2024</v>
      </c>
      <c r="O57">
        <f>MONTH(Table2[[#This Row],[OrderDate]])</f>
        <v>2</v>
      </c>
      <c r="P57" t="str">
        <f>TEXT(Table2[[#This Row],[OrderDate]],"mmm")</f>
        <v>Feb</v>
      </c>
    </row>
    <row r="58" spans="1:16" x14ac:dyDescent="0.35">
      <c r="A58">
        <v>1057</v>
      </c>
      <c r="B58" t="s">
        <v>99</v>
      </c>
      <c r="C58" t="s">
        <v>123</v>
      </c>
      <c r="D58">
        <v>3</v>
      </c>
      <c r="E58" s="1">
        <v>45339</v>
      </c>
      <c r="F58">
        <v>900</v>
      </c>
      <c r="G58" t="str">
        <f>VLOOKUP(project!$B58,Customer!$A$1:$C$41,MATCH(Customer!B$1,Customer!$A$1:$C$1,0),FALSE)</f>
        <v>Harish Kumar</v>
      </c>
      <c r="H58" t="str">
        <f>VLOOKUP(project!$B58,Customer!$A$1:$C$41,MATCH(Customer!C$1,Customer!$A$1:$C$1,0),FALSE)</f>
        <v>South</v>
      </c>
      <c r="I58" t="str">
        <f>VLOOKUP(project!$C58,Product_table!$A$1:$D$31,MATCH(Product_table!B$1,Product_table!$A$1:$D$1,0))</f>
        <v>Extension Board</v>
      </c>
      <c r="J58" t="str">
        <f>VLOOKUP(project!$C58,Product_table!$A$1:$D$31,MATCH(Product_table!C$1,Product_table!$A$1:$D$1,0))</f>
        <v>Accessories</v>
      </c>
      <c r="K58">
        <f>VLOOKUP(project!$C58,Product_table!$A$1:$D$31,MATCH(Product_table!D$1,Product_table!$A$1:$D$1,0))</f>
        <v>699</v>
      </c>
      <c r="L58">
        <f>Table2[[#This Row],[Price]]*Table2[[#This Row],[Quantity]]</f>
        <v>2097</v>
      </c>
      <c r="M58">
        <f>Table2[[#This Row],[Profit]]/Table2[[#This Row],[Salse]]</f>
        <v>0.42918454935622319</v>
      </c>
      <c r="N58">
        <f>YEAR(Table2[[#This Row],[OrderDate]])</f>
        <v>2024</v>
      </c>
      <c r="O58">
        <f>MONTH(Table2[[#This Row],[OrderDate]])</f>
        <v>2</v>
      </c>
      <c r="P58" t="str">
        <f>TEXT(Table2[[#This Row],[OrderDate]],"mmm")</f>
        <v>Feb</v>
      </c>
    </row>
    <row r="59" spans="1:16" x14ac:dyDescent="0.35">
      <c r="A59">
        <v>1058</v>
      </c>
      <c r="B59" t="s">
        <v>100</v>
      </c>
      <c r="C59" t="s">
        <v>71</v>
      </c>
      <c r="D59">
        <v>2</v>
      </c>
      <c r="E59" s="1">
        <v>45340</v>
      </c>
      <c r="F59">
        <v>600</v>
      </c>
      <c r="G59" t="str">
        <f>VLOOKUP(project!$B59,Customer!$A$1:$C$41,MATCH(Customer!B$1,Customer!$A$1:$C$1,0),FALSE)</f>
        <v>Ananya Rao</v>
      </c>
      <c r="H59" t="str">
        <f>VLOOKUP(project!$B59,Customer!$A$1:$C$41,MATCH(Customer!C$1,Customer!$A$1:$C$1,0),FALSE)</f>
        <v>West</v>
      </c>
      <c r="I59" t="str">
        <f>VLOOKUP(project!$C59,Product_table!$A$1:$D$31,MATCH(Product_table!B$1,Product_table!$A$1:$D$1,0))</f>
        <v>Boat Speakers</v>
      </c>
      <c r="J59" t="str">
        <f>VLOOKUP(project!$C59,Product_table!$A$1:$D$31,MATCH(Product_table!C$1,Product_table!$A$1:$D$1,0))</f>
        <v>Electronics</v>
      </c>
      <c r="K59">
        <f>VLOOKUP(project!$C59,Product_table!$A$1:$D$31,MATCH(Product_table!D$1,Product_table!$A$1:$D$1,0))</f>
        <v>3500</v>
      </c>
      <c r="L59">
        <f>Table2[[#This Row],[Price]]*Table2[[#This Row],[Quantity]]</f>
        <v>7000</v>
      </c>
      <c r="M59">
        <f>Table2[[#This Row],[Profit]]/Table2[[#This Row],[Salse]]</f>
        <v>8.5714285714285715E-2</v>
      </c>
      <c r="N59">
        <f>YEAR(Table2[[#This Row],[OrderDate]])</f>
        <v>2024</v>
      </c>
      <c r="O59">
        <f>MONTH(Table2[[#This Row],[OrderDate]])</f>
        <v>2</v>
      </c>
      <c r="P59" t="str">
        <f>TEXT(Table2[[#This Row],[OrderDate]],"mmm")</f>
        <v>Feb</v>
      </c>
    </row>
    <row r="60" spans="1:16" x14ac:dyDescent="0.35">
      <c r="A60">
        <v>1059</v>
      </c>
      <c r="B60" t="s">
        <v>101</v>
      </c>
      <c r="C60" t="s">
        <v>81</v>
      </c>
      <c r="D60">
        <v>1</v>
      </c>
      <c r="E60" s="1">
        <v>45341</v>
      </c>
      <c r="F60">
        <v>900</v>
      </c>
      <c r="G60" t="str">
        <f>VLOOKUP(project!$B60,Customer!$A$1:$C$41,MATCH(Customer!B$1,Customer!$A$1:$C$1,0),FALSE)</f>
        <v>Sanjay Gupta</v>
      </c>
      <c r="H60" t="str">
        <f>VLOOKUP(project!$B60,Customer!$A$1:$C$41,MATCH(Customer!C$1,Customer!$A$1:$C$1,0),FALSE)</f>
        <v>East</v>
      </c>
      <c r="I60" t="str">
        <f>VLOOKUP(project!$C60,Product_table!$A$1:$D$31,MATCH(Product_table!B$1,Product_table!$A$1:$D$1,0))</f>
        <v>Smartwatch Pro</v>
      </c>
      <c r="J60" t="str">
        <f>VLOOKUP(project!$C60,Product_table!$A$1:$D$31,MATCH(Product_table!C$1,Product_table!$A$1:$D$1,0))</f>
        <v>Electronics</v>
      </c>
      <c r="K60">
        <f>VLOOKUP(project!$C60,Product_table!$A$1:$D$31,MATCH(Product_table!D$1,Product_table!$A$1:$D$1,0))</f>
        <v>4500</v>
      </c>
      <c r="L60">
        <f>Table2[[#This Row],[Price]]*Table2[[#This Row],[Quantity]]</f>
        <v>4500</v>
      </c>
      <c r="M60">
        <f>Table2[[#This Row],[Profit]]/Table2[[#This Row],[Salse]]</f>
        <v>0.2</v>
      </c>
      <c r="N60">
        <f>YEAR(Table2[[#This Row],[OrderDate]])</f>
        <v>2024</v>
      </c>
      <c r="O60">
        <f>MONTH(Table2[[#This Row],[OrderDate]])</f>
        <v>2</v>
      </c>
      <c r="P60" t="str">
        <f>TEXT(Table2[[#This Row],[OrderDate]],"mmm")</f>
        <v>Feb</v>
      </c>
    </row>
    <row r="61" spans="1:16" x14ac:dyDescent="0.35">
      <c r="A61">
        <v>1060</v>
      </c>
      <c r="B61" t="s">
        <v>102</v>
      </c>
      <c r="C61" t="s">
        <v>79</v>
      </c>
      <c r="D61">
        <v>4</v>
      </c>
      <c r="E61" s="1">
        <v>45342</v>
      </c>
      <c r="F61">
        <v>1900</v>
      </c>
      <c r="G61" t="str">
        <f>VLOOKUP(project!$B61,Customer!$A$1:$C$41,MATCH(Customer!B$1,Customer!$A$1:$C$1,0),FALSE)</f>
        <v>Kunal Shah</v>
      </c>
      <c r="H61" t="str">
        <f>VLOOKUP(project!$B61,Customer!$A$1:$C$41,MATCH(Customer!C$1,Customer!$A$1:$C$1,0),FALSE)</f>
        <v>North</v>
      </c>
      <c r="I61" t="str">
        <f>VLOOKUP(project!$C61,Product_table!$A$1:$D$31,MATCH(Product_table!B$1,Product_table!$A$1:$D$1,0))</f>
        <v>Mobile Back Cover</v>
      </c>
      <c r="J61" t="str">
        <f>VLOOKUP(project!$C61,Product_table!$A$1:$D$31,MATCH(Product_table!C$1,Product_table!$A$1:$D$1,0))</f>
        <v>Accessories</v>
      </c>
      <c r="K61">
        <f>VLOOKUP(project!$C61,Product_table!$A$1:$D$31,MATCH(Product_table!D$1,Product_table!$A$1:$D$1,0))</f>
        <v>299</v>
      </c>
      <c r="L61">
        <f>Table2[[#This Row],[Price]]*Table2[[#This Row],[Quantity]]</f>
        <v>1196</v>
      </c>
      <c r="M61">
        <f>Table2[[#This Row],[Profit]]/Table2[[#This Row],[Salse]]</f>
        <v>1.5886287625418061</v>
      </c>
      <c r="N61">
        <f>YEAR(Table2[[#This Row],[OrderDate]])</f>
        <v>2024</v>
      </c>
      <c r="O61">
        <f>MONTH(Table2[[#This Row],[OrderDate]])</f>
        <v>2</v>
      </c>
      <c r="P61" t="str">
        <f>TEXT(Table2[[#This Row],[OrderDate]],"mmm")</f>
        <v>Feb</v>
      </c>
    </row>
    <row r="62" spans="1:16" x14ac:dyDescent="0.35">
      <c r="A62">
        <v>1061</v>
      </c>
      <c r="B62" t="s">
        <v>103</v>
      </c>
      <c r="C62" t="s">
        <v>69</v>
      </c>
      <c r="D62">
        <v>1</v>
      </c>
      <c r="E62" s="1">
        <v>45342</v>
      </c>
      <c r="F62">
        <v>15000</v>
      </c>
      <c r="G62" t="str">
        <f>VLOOKUP(project!$B62,Customer!$A$1:$C$41,MATCH(Customer!B$1,Customer!$A$1:$C$1,0),FALSE)</f>
        <v>Seema Joshi</v>
      </c>
      <c r="H62" t="str">
        <f>VLOOKUP(project!$B62,Customer!$A$1:$C$41,MATCH(Customer!C$1,Customer!$A$1:$C$1,0),FALSE)</f>
        <v>South</v>
      </c>
      <c r="I62" t="str">
        <f>VLOOKUP(project!$C62,Product_table!$A$1:$D$31,MATCH(Product_table!B$1,Product_table!$A$1:$D$1,0))</f>
        <v>Amazon Echo Dot</v>
      </c>
      <c r="J62" t="str">
        <f>VLOOKUP(project!$C62,Product_table!$A$1:$D$31,MATCH(Product_table!C$1,Product_table!$A$1:$D$1,0))</f>
        <v>Electronics</v>
      </c>
      <c r="K62">
        <f>VLOOKUP(project!$C62,Product_table!$A$1:$D$31,MATCH(Product_table!D$1,Product_table!$A$1:$D$1,0))</f>
        <v>4500</v>
      </c>
      <c r="L62">
        <f>Table2[[#This Row],[Price]]*Table2[[#This Row],[Quantity]]</f>
        <v>4500</v>
      </c>
      <c r="M62">
        <f>Table2[[#This Row],[Profit]]/Table2[[#This Row],[Salse]]</f>
        <v>3.3333333333333335</v>
      </c>
      <c r="N62">
        <f>YEAR(Table2[[#This Row],[OrderDate]])</f>
        <v>2024</v>
      </c>
      <c r="O62">
        <f>MONTH(Table2[[#This Row],[OrderDate]])</f>
        <v>2</v>
      </c>
      <c r="P62" t="str">
        <f>TEXT(Table2[[#This Row],[OrderDate]],"mmm")</f>
        <v>Feb</v>
      </c>
    </row>
    <row r="63" spans="1:16" x14ac:dyDescent="0.35">
      <c r="A63">
        <v>1062</v>
      </c>
      <c r="B63" t="s">
        <v>104</v>
      </c>
      <c r="C63" t="s">
        <v>107</v>
      </c>
      <c r="D63">
        <v>1</v>
      </c>
      <c r="E63" s="1">
        <v>45343</v>
      </c>
      <c r="F63">
        <v>1200</v>
      </c>
      <c r="G63" t="str">
        <f>VLOOKUP(project!$B63,Customer!$A$1:$C$41,MATCH(Customer!B$1,Customer!$A$1:$C$1,0),FALSE)</f>
        <v>Ashutosh Rana</v>
      </c>
      <c r="H63" t="str">
        <f>VLOOKUP(project!$B63,Customer!$A$1:$C$41,MATCH(Customer!C$1,Customer!$A$1:$C$1,0),FALSE)</f>
        <v>West</v>
      </c>
      <c r="I63" t="str">
        <f>VLOOKUP(project!$C63,Product_table!$A$1:$D$31,MATCH(Product_table!B$1,Product_table!$A$1:$D$1,0))</f>
        <v>Backpack</v>
      </c>
      <c r="J63" t="str">
        <f>VLOOKUP(project!$C63,Product_table!$A$1:$D$31,MATCH(Product_table!C$1,Product_table!$A$1:$D$1,0))</f>
        <v>Accessories</v>
      </c>
      <c r="K63">
        <f>VLOOKUP(project!$C63,Product_table!$A$1:$D$31,MATCH(Product_table!D$1,Product_table!$A$1:$D$1,0))</f>
        <v>1299</v>
      </c>
      <c r="L63">
        <f>Table2[[#This Row],[Price]]*Table2[[#This Row],[Quantity]]</f>
        <v>1299</v>
      </c>
      <c r="M63">
        <f>Table2[[#This Row],[Profit]]/Table2[[#This Row],[Salse]]</f>
        <v>0.92378752886836024</v>
      </c>
      <c r="N63">
        <f>YEAR(Table2[[#This Row],[OrderDate]])</f>
        <v>2024</v>
      </c>
      <c r="O63">
        <f>MONTH(Table2[[#This Row],[OrderDate]])</f>
        <v>2</v>
      </c>
      <c r="P63" t="str">
        <f>TEXT(Table2[[#This Row],[OrderDate]],"mmm")</f>
        <v>Feb</v>
      </c>
    </row>
    <row r="64" spans="1:16" x14ac:dyDescent="0.35">
      <c r="A64">
        <v>1063</v>
      </c>
      <c r="B64" t="s">
        <v>105</v>
      </c>
      <c r="C64" t="s">
        <v>128</v>
      </c>
      <c r="D64">
        <v>1</v>
      </c>
      <c r="E64" s="1">
        <v>45344</v>
      </c>
      <c r="F64">
        <v>2000</v>
      </c>
      <c r="G64" t="str">
        <f>VLOOKUP(project!$B64,Customer!$A$1:$C$41,MATCH(Customer!B$1,Customer!$A$1:$C$1,0),FALSE)</f>
        <v>Pankaj Yadav</v>
      </c>
      <c r="H64" t="str">
        <f>VLOOKUP(project!$B64,Customer!$A$1:$C$41,MATCH(Customer!C$1,Customer!$A$1:$C$1,0),FALSE)</f>
        <v>East</v>
      </c>
      <c r="I64" t="str">
        <f>VLOOKUP(project!$C64,Product_table!$A$1:$D$31,MATCH(Product_table!B$1,Product_table!$A$1:$D$1,0))</f>
        <v>Smart Bulb</v>
      </c>
      <c r="J64" t="str">
        <f>VLOOKUP(project!$C64,Product_table!$A$1:$D$31,MATCH(Product_table!C$1,Product_table!$A$1:$D$1,0))</f>
        <v>Electronics</v>
      </c>
      <c r="K64">
        <f>VLOOKUP(project!$C64,Product_table!$A$1:$D$31,MATCH(Product_table!D$1,Product_table!$A$1:$D$1,0))</f>
        <v>899</v>
      </c>
      <c r="L64">
        <f>Table2[[#This Row],[Price]]*Table2[[#This Row],[Quantity]]</f>
        <v>899</v>
      </c>
      <c r="M64">
        <f>Table2[[#This Row],[Profit]]/Table2[[#This Row],[Salse]]</f>
        <v>2.2246941045606228</v>
      </c>
      <c r="N64">
        <f>YEAR(Table2[[#This Row],[OrderDate]])</f>
        <v>2024</v>
      </c>
      <c r="O64">
        <f>MONTH(Table2[[#This Row],[OrderDate]])</f>
        <v>2</v>
      </c>
      <c r="P64" t="str">
        <f>TEXT(Table2[[#This Row],[OrderDate]],"mmm")</f>
        <v>Feb</v>
      </c>
    </row>
    <row r="65" spans="1:16" x14ac:dyDescent="0.35">
      <c r="A65">
        <v>1064</v>
      </c>
      <c r="B65" t="s">
        <v>106</v>
      </c>
      <c r="C65" t="s">
        <v>77</v>
      </c>
      <c r="D65">
        <v>2</v>
      </c>
      <c r="E65" s="1">
        <v>45345</v>
      </c>
      <c r="F65">
        <v>2000</v>
      </c>
      <c r="G65" t="str">
        <f>VLOOKUP(project!$B65,Customer!$A$1:$C$41,MATCH(Customer!B$1,Customer!$A$1:$C$1,0),FALSE)</f>
        <v>Komal Vora</v>
      </c>
      <c r="H65" t="str">
        <f>VLOOKUP(project!$B65,Customer!$A$1:$C$41,MATCH(Customer!C$1,Customer!$A$1:$C$1,0),FALSE)</f>
        <v>North</v>
      </c>
      <c r="I65" t="str">
        <f>VLOOKUP(project!$C65,Product_table!$A$1:$D$31,MATCH(Product_table!B$1,Product_table!$A$1:$D$1,0))</f>
        <v>Noise Headphones</v>
      </c>
      <c r="J65" t="str">
        <f>VLOOKUP(project!$C65,Product_table!$A$1:$D$31,MATCH(Product_table!C$1,Product_table!$A$1:$D$1,0))</f>
        <v>Accessories</v>
      </c>
      <c r="K65">
        <f>VLOOKUP(project!$C65,Product_table!$A$1:$D$31,MATCH(Product_table!D$1,Product_table!$A$1:$D$1,0))</f>
        <v>1999</v>
      </c>
      <c r="L65">
        <f>Table2[[#This Row],[Price]]*Table2[[#This Row],[Quantity]]</f>
        <v>3998</v>
      </c>
      <c r="M65">
        <f>Table2[[#This Row],[Profit]]/Table2[[#This Row],[Salse]]</f>
        <v>0.5002501250625313</v>
      </c>
      <c r="N65">
        <f>YEAR(Table2[[#This Row],[OrderDate]])</f>
        <v>2024</v>
      </c>
      <c r="O65">
        <f>MONTH(Table2[[#This Row],[OrderDate]])</f>
        <v>2</v>
      </c>
      <c r="P65" t="str">
        <f>TEXT(Table2[[#This Row],[OrderDate]],"mmm")</f>
        <v>Feb</v>
      </c>
    </row>
    <row r="66" spans="1:16" x14ac:dyDescent="0.35">
      <c r="A66">
        <v>1065</v>
      </c>
      <c r="B66" t="s">
        <v>108</v>
      </c>
      <c r="C66" t="s">
        <v>120</v>
      </c>
      <c r="D66">
        <v>4</v>
      </c>
      <c r="E66" s="1">
        <v>45346</v>
      </c>
      <c r="F66">
        <v>300</v>
      </c>
      <c r="G66" t="str">
        <f>VLOOKUP(project!$B66,Customer!$A$1:$C$41,MATCH(Customer!B$1,Customer!$A$1:$C$1,0),FALSE)</f>
        <v>Sameer Seth</v>
      </c>
      <c r="H66" t="str">
        <f>VLOOKUP(project!$B66,Customer!$A$1:$C$41,MATCH(Customer!C$1,Customer!$A$1:$C$1,0),FALSE)</f>
        <v>South</v>
      </c>
      <c r="I66" t="str">
        <f>VLOOKUP(project!$C66,Product_table!$A$1:$D$31,MATCH(Product_table!B$1,Product_table!$A$1:$D$1,0))</f>
        <v>Wireless Mouse</v>
      </c>
      <c r="J66" t="str">
        <f>VLOOKUP(project!$C66,Product_table!$A$1:$D$31,MATCH(Product_table!C$1,Product_table!$A$1:$D$1,0))</f>
        <v>Accessories</v>
      </c>
      <c r="K66">
        <f>VLOOKUP(project!$C66,Product_table!$A$1:$D$31,MATCH(Product_table!D$1,Product_table!$A$1:$D$1,0))</f>
        <v>799</v>
      </c>
      <c r="L66">
        <f>Table2[[#This Row],[Price]]*Table2[[#This Row],[Quantity]]</f>
        <v>3196</v>
      </c>
      <c r="M66">
        <f>Table2[[#This Row],[Profit]]/Table2[[#This Row],[Salse]]</f>
        <v>9.3867334167709635E-2</v>
      </c>
      <c r="N66">
        <f>YEAR(Table2[[#This Row],[OrderDate]])</f>
        <v>2024</v>
      </c>
      <c r="O66">
        <f>MONTH(Table2[[#This Row],[OrderDate]])</f>
        <v>2</v>
      </c>
      <c r="P66" t="str">
        <f>TEXT(Table2[[#This Row],[OrderDate]],"mmm")</f>
        <v>Feb</v>
      </c>
    </row>
    <row r="67" spans="1:16" x14ac:dyDescent="0.35">
      <c r="A67">
        <v>1066</v>
      </c>
      <c r="B67" t="s">
        <v>110</v>
      </c>
      <c r="C67" t="s">
        <v>98</v>
      </c>
      <c r="D67">
        <v>2</v>
      </c>
      <c r="E67" s="1">
        <v>45347</v>
      </c>
      <c r="F67">
        <v>2500</v>
      </c>
      <c r="G67" t="str">
        <f>VLOOKUP(project!$B67,Customer!$A$1:$C$41,MATCH(Customer!B$1,Customer!$A$1:$C$1,0),FALSE)</f>
        <v>Rehan Khan</v>
      </c>
      <c r="H67" t="str">
        <f>VLOOKUP(project!$B67,Customer!$A$1:$C$41,MATCH(Customer!C$1,Customer!$A$1:$C$1,0),FALSE)</f>
        <v>West</v>
      </c>
      <c r="I67" t="str">
        <f>VLOOKUP(project!$C67,Product_table!$A$1:$D$31,MATCH(Product_table!B$1,Product_table!$A$1:$D$1,0))</f>
        <v>Tripod Stand</v>
      </c>
      <c r="J67" t="str">
        <f>VLOOKUP(project!$C67,Product_table!$A$1:$D$31,MATCH(Product_table!C$1,Product_table!$A$1:$D$1,0))</f>
        <v>Accessories</v>
      </c>
      <c r="K67">
        <f>VLOOKUP(project!$C67,Product_table!$A$1:$D$31,MATCH(Product_table!D$1,Product_table!$A$1:$D$1,0))</f>
        <v>499</v>
      </c>
      <c r="L67">
        <f>Table2[[#This Row],[Price]]*Table2[[#This Row],[Quantity]]</f>
        <v>998</v>
      </c>
      <c r="M67">
        <f>Table2[[#This Row],[Profit]]/Table2[[#This Row],[Salse]]</f>
        <v>2.5050100200400802</v>
      </c>
      <c r="N67">
        <f>YEAR(Table2[[#This Row],[OrderDate]])</f>
        <v>2024</v>
      </c>
      <c r="O67">
        <f>MONTH(Table2[[#This Row],[OrderDate]])</f>
        <v>2</v>
      </c>
      <c r="P67" t="str">
        <f>TEXT(Table2[[#This Row],[OrderDate]],"mmm")</f>
        <v>Feb</v>
      </c>
    </row>
    <row r="68" spans="1:16" x14ac:dyDescent="0.35">
      <c r="A68">
        <v>1067</v>
      </c>
      <c r="B68" t="s">
        <v>111</v>
      </c>
      <c r="C68" t="s">
        <v>93</v>
      </c>
      <c r="D68">
        <v>1</v>
      </c>
      <c r="E68" s="1">
        <v>45348</v>
      </c>
      <c r="F68">
        <v>800</v>
      </c>
      <c r="G68" t="str">
        <f>VLOOKUP(project!$B68,Customer!$A$1:$C$41,MATCH(Customer!B$1,Customer!$A$1:$C$1,0),FALSE)</f>
        <v>Samir Dholakia</v>
      </c>
      <c r="H68" t="str">
        <f>VLOOKUP(project!$B68,Customer!$A$1:$C$41,MATCH(Customer!C$1,Customer!$A$1:$C$1,0),FALSE)</f>
        <v>East</v>
      </c>
      <c r="I68" t="str">
        <f>VLOOKUP(project!$C68,Product_table!$A$1:$D$31,MATCH(Product_table!B$1,Product_table!$A$1:$D$1,0))</f>
        <v>LED Monitor</v>
      </c>
      <c r="J68" t="str">
        <f>VLOOKUP(project!$C68,Product_table!$A$1:$D$31,MATCH(Product_table!C$1,Product_table!$A$1:$D$1,0))</f>
        <v>Electronics</v>
      </c>
      <c r="K68">
        <f>VLOOKUP(project!$C68,Product_table!$A$1:$D$31,MATCH(Product_table!D$1,Product_table!$A$1:$D$1,0))</f>
        <v>12500</v>
      </c>
      <c r="L68">
        <f>Table2[[#This Row],[Price]]*Table2[[#This Row],[Quantity]]</f>
        <v>12500</v>
      </c>
      <c r="M68">
        <f>Table2[[#This Row],[Profit]]/Table2[[#This Row],[Salse]]</f>
        <v>6.4000000000000001E-2</v>
      </c>
      <c r="N68">
        <f>YEAR(Table2[[#This Row],[OrderDate]])</f>
        <v>2024</v>
      </c>
      <c r="O68">
        <f>MONTH(Table2[[#This Row],[OrderDate]])</f>
        <v>2</v>
      </c>
      <c r="P68" t="str">
        <f>TEXT(Table2[[#This Row],[OrderDate]],"mmm")</f>
        <v>Feb</v>
      </c>
    </row>
    <row r="69" spans="1:16" x14ac:dyDescent="0.35">
      <c r="A69">
        <v>1068</v>
      </c>
      <c r="B69" t="s">
        <v>113</v>
      </c>
      <c r="C69" t="s">
        <v>91</v>
      </c>
      <c r="D69">
        <v>1</v>
      </c>
      <c r="E69" s="1">
        <v>45349</v>
      </c>
      <c r="F69">
        <v>700</v>
      </c>
      <c r="G69" t="str">
        <f>VLOOKUP(project!$B69,Customer!$A$1:$C$41,MATCH(Customer!B$1,Customer!$A$1:$C$1,0),FALSE)</f>
        <v>Divya Singh</v>
      </c>
      <c r="H69" t="str">
        <f>VLOOKUP(project!$B69,Customer!$A$1:$C$41,MATCH(Customer!C$1,Customer!$A$1:$C$1,0),FALSE)</f>
        <v>North</v>
      </c>
      <c r="I69" t="str">
        <f>VLOOKUP(project!$C69,Product_table!$A$1:$D$31,MATCH(Product_table!B$1,Product_table!$A$1:$D$1,0))</f>
        <v>Pen Drive 64GB</v>
      </c>
      <c r="J69" t="str">
        <f>VLOOKUP(project!$C69,Product_table!$A$1:$D$31,MATCH(Product_table!C$1,Product_table!$A$1:$D$1,0))</f>
        <v>Electronics</v>
      </c>
      <c r="K69">
        <f>VLOOKUP(project!$C69,Product_table!$A$1:$D$31,MATCH(Product_table!D$1,Product_table!$A$1:$D$1,0))</f>
        <v>799</v>
      </c>
      <c r="L69">
        <f>Table2[[#This Row],[Price]]*Table2[[#This Row],[Quantity]]</f>
        <v>799</v>
      </c>
      <c r="M69">
        <f>Table2[[#This Row],[Profit]]/Table2[[#This Row],[Salse]]</f>
        <v>0.87609511889862324</v>
      </c>
      <c r="N69">
        <f>YEAR(Table2[[#This Row],[OrderDate]])</f>
        <v>2024</v>
      </c>
      <c r="O69">
        <f>MONTH(Table2[[#This Row],[OrderDate]])</f>
        <v>2</v>
      </c>
      <c r="P69" t="str">
        <f>TEXT(Table2[[#This Row],[OrderDate]],"mmm")</f>
        <v>Feb</v>
      </c>
    </row>
    <row r="70" spans="1:16" x14ac:dyDescent="0.35">
      <c r="A70">
        <v>1069</v>
      </c>
      <c r="B70" t="s">
        <v>115</v>
      </c>
      <c r="C70" t="s">
        <v>81</v>
      </c>
      <c r="D70">
        <v>2</v>
      </c>
      <c r="E70" s="1">
        <v>45350</v>
      </c>
      <c r="F70">
        <v>350</v>
      </c>
      <c r="G70" t="str">
        <f>VLOOKUP(project!$B70,Customer!$A$1:$C$41,MATCH(Customer!B$1,Customer!$A$1:$C$1,0),FALSE)</f>
        <v>Meera Kapoor</v>
      </c>
      <c r="H70" t="str">
        <f>VLOOKUP(project!$B70,Customer!$A$1:$C$41,MATCH(Customer!C$1,Customer!$A$1:$C$1,0),FALSE)</f>
        <v>South</v>
      </c>
      <c r="I70" t="str">
        <f>VLOOKUP(project!$C70,Product_table!$A$1:$D$31,MATCH(Product_table!B$1,Product_table!$A$1:$D$1,0))</f>
        <v>Smartwatch Pro</v>
      </c>
      <c r="J70" t="str">
        <f>VLOOKUP(project!$C70,Product_table!$A$1:$D$31,MATCH(Product_table!C$1,Product_table!$A$1:$D$1,0))</f>
        <v>Electronics</v>
      </c>
      <c r="K70">
        <f>VLOOKUP(project!$C70,Product_table!$A$1:$D$31,MATCH(Product_table!D$1,Product_table!$A$1:$D$1,0))</f>
        <v>4500</v>
      </c>
      <c r="L70">
        <f>Table2[[#This Row],[Price]]*Table2[[#This Row],[Quantity]]</f>
        <v>9000</v>
      </c>
      <c r="M70">
        <f>Table2[[#This Row],[Profit]]/Table2[[#This Row],[Salse]]</f>
        <v>3.888888888888889E-2</v>
      </c>
      <c r="N70">
        <f>YEAR(Table2[[#This Row],[OrderDate]])</f>
        <v>2024</v>
      </c>
      <c r="O70">
        <f>MONTH(Table2[[#This Row],[OrderDate]])</f>
        <v>2</v>
      </c>
      <c r="P70" t="str">
        <f>TEXT(Table2[[#This Row],[OrderDate]],"mmm")</f>
        <v>Feb</v>
      </c>
    </row>
    <row r="71" spans="1:16" x14ac:dyDescent="0.35">
      <c r="A71">
        <v>1070</v>
      </c>
      <c r="B71" t="s">
        <v>117</v>
      </c>
      <c r="C71" t="s">
        <v>118</v>
      </c>
      <c r="D71">
        <v>1</v>
      </c>
      <c r="E71" s="1">
        <v>45351</v>
      </c>
      <c r="F71">
        <v>200</v>
      </c>
      <c r="G71" t="str">
        <f>VLOOKUP(project!$B71,Customer!$A$1:$C$41,MATCH(Customer!B$1,Customer!$A$1:$C$1,0),FALSE)</f>
        <v>Karan Mulchandani</v>
      </c>
      <c r="H71" t="str">
        <f>VLOOKUP(project!$B71,Customer!$A$1:$C$41,MATCH(Customer!C$1,Customer!$A$1:$C$1,0),FALSE)</f>
        <v>West</v>
      </c>
      <c r="I71" t="str">
        <f>VLOOKUP(project!$C71,Product_table!$A$1:$D$31,MATCH(Product_table!B$1,Product_table!$A$1:$D$1,0))</f>
        <v>Gaming Mouse</v>
      </c>
      <c r="J71" t="str">
        <f>VLOOKUP(project!$C71,Product_table!$A$1:$D$31,MATCH(Product_table!C$1,Product_table!$A$1:$D$1,0))</f>
        <v>Electronics</v>
      </c>
      <c r="K71">
        <f>VLOOKUP(project!$C71,Product_table!$A$1:$D$31,MATCH(Product_table!D$1,Product_table!$A$1:$D$1,0))</f>
        <v>1999</v>
      </c>
      <c r="L71">
        <f>Table2[[#This Row],[Price]]*Table2[[#This Row],[Quantity]]</f>
        <v>1999</v>
      </c>
      <c r="M71">
        <f>Table2[[#This Row],[Profit]]/Table2[[#This Row],[Salse]]</f>
        <v>0.10005002501250625</v>
      </c>
      <c r="N71">
        <f>YEAR(Table2[[#This Row],[OrderDate]])</f>
        <v>2024</v>
      </c>
      <c r="O71">
        <f>MONTH(Table2[[#This Row],[OrderDate]])</f>
        <v>2</v>
      </c>
      <c r="P71" t="str">
        <f>TEXT(Table2[[#This Row],[OrderDate]],"mmm")</f>
        <v>Feb</v>
      </c>
    </row>
    <row r="72" spans="1:16" x14ac:dyDescent="0.35">
      <c r="A72">
        <v>1071</v>
      </c>
      <c r="B72" t="s">
        <v>119</v>
      </c>
      <c r="C72" t="s">
        <v>77</v>
      </c>
      <c r="D72">
        <v>1</v>
      </c>
      <c r="E72" s="1">
        <v>45352</v>
      </c>
      <c r="F72">
        <v>850</v>
      </c>
      <c r="G72" t="str">
        <f>VLOOKUP(project!$B72,Customer!$A$1:$C$41,MATCH(Customer!B$1,Customer!$A$1:$C$1,0),FALSE)</f>
        <v>Sonal Nair</v>
      </c>
      <c r="H72" t="str">
        <f>VLOOKUP(project!$B72,Customer!$A$1:$C$41,MATCH(Customer!C$1,Customer!$A$1:$C$1,0),FALSE)</f>
        <v>East</v>
      </c>
      <c r="I72" t="str">
        <f>VLOOKUP(project!$C72,Product_table!$A$1:$D$31,MATCH(Product_table!B$1,Product_table!$A$1:$D$1,0))</f>
        <v>Noise Headphones</v>
      </c>
      <c r="J72" t="str">
        <f>VLOOKUP(project!$C72,Product_table!$A$1:$D$31,MATCH(Product_table!C$1,Product_table!$A$1:$D$1,0))</f>
        <v>Accessories</v>
      </c>
      <c r="K72">
        <f>VLOOKUP(project!$C72,Product_table!$A$1:$D$31,MATCH(Product_table!D$1,Product_table!$A$1:$D$1,0))</f>
        <v>1999</v>
      </c>
      <c r="L72">
        <f>Table2[[#This Row],[Price]]*Table2[[#This Row],[Quantity]]</f>
        <v>1999</v>
      </c>
      <c r="M72">
        <f>Table2[[#This Row],[Profit]]/Table2[[#This Row],[Salse]]</f>
        <v>0.42521260630315155</v>
      </c>
      <c r="N72">
        <f>YEAR(Table2[[#This Row],[OrderDate]])</f>
        <v>2024</v>
      </c>
      <c r="O72">
        <f>MONTH(Table2[[#This Row],[OrderDate]])</f>
        <v>3</v>
      </c>
      <c r="P72" t="str">
        <f>TEXT(Table2[[#This Row],[OrderDate]],"mmm")</f>
        <v>Mar</v>
      </c>
    </row>
    <row r="73" spans="1:16" x14ac:dyDescent="0.35">
      <c r="A73">
        <v>1072</v>
      </c>
      <c r="B73" t="s">
        <v>121</v>
      </c>
      <c r="C73" t="s">
        <v>75</v>
      </c>
      <c r="D73">
        <v>1</v>
      </c>
      <c r="E73" s="1">
        <v>45353</v>
      </c>
      <c r="F73">
        <v>900</v>
      </c>
      <c r="G73" t="str">
        <f>VLOOKUP(project!$B73,Customer!$A$1:$C$41,MATCH(Customer!B$1,Customer!$A$1:$C$1,0),FALSE)</f>
        <v>Yash Sharma</v>
      </c>
      <c r="H73" t="str">
        <f>VLOOKUP(project!$B73,Customer!$A$1:$C$41,MATCH(Customer!C$1,Customer!$A$1:$C$1,0),FALSE)</f>
        <v>North</v>
      </c>
      <c r="I73" t="str">
        <f>VLOOKUP(project!$C73,Product_table!$A$1:$D$31,MATCH(Product_table!B$1,Product_table!$A$1:$D$1,0))</f>
        <v>HP Laptop 15</v>
      </c>
      <c r="J73" t="str">
        <f>VLOOKUP(project!$C73,Product_table!$A$1:$D$31,MATCH(Product_table!C$1,Product_table!$A$1:$D$1,0))</f>
        <v>Electronics</v>
      </c>
      <c r="K73">
        <f>VLOOKUP(project!$C73,Product_table!$A$1:$D$31,MATCH(Product_table!D$1,Product_table!$A$1:$D$1,0))</f>
        <v>58000</v>
      </c>
      <c r="L73">
        <f>Table2[[#This Row],[Price]]*Table2[[#This Row],[Quantity]]</f>
        <v>58000</v>
      </c>
      <c r="M73">
        <f>Table2[[#This Row],[Profit]]/Table2[[#This Row],[Salse]]</f>
        <v>1.5517241379310345E-2</v>
      </c>
      <c r="N73">
        <f>YEAR(Table2[[#This Row],[OrderDate]])</f>
        <v>2024</v>
      </c>
      <c r="O73">
        <f>MONTH(Table2[[#This Row],[OrderDate]])</f>
        <v>3</v>
      </c>
      <c r="P73" t="str">
        <f>TEXT(Table2[[#This Row],[OrderDate]],"mmm")</f>
        <v>Mar</v>
      </c>
    </row>
    <row r="74" spans="1:16" x14ac:dyDescent="0.35">
      <c r="A74">
        <v>1073</v>
      </c>
      <c r="B74" t="s">
        <v>122</v>
      </c>
      <c r="C74" t="s">
        <v>71</v>
      </c>
      <c r="D74">
        <v>2</v>
      </c>
      <c r="E74" s="1">
        <v>45354</v>
      </c>
      <c r="F74">
        <v>600</v>
      </c>
      <c r="G74" t="str">
        <f>VLOOKUP(project!$B74,Customer!$A$1:$C$41,MATCH(Customer!B$1,Customer!$A$1:$C$1,0),FALSE)</f>
        <v>Ankita Joshi</v>
      </c>
      <c r="H74" t="str">
        <f>VLOOKUP(project!$B74,Customer!$A$1:$C$41,MATCH(Customer!C$1,Customer!$A$1:$C$1,0),FALSE)</f>
        <v>South</v>
      </c>
      <c r="I74" t="str">
        <f>VLOOKUP(project!$C74,Product_table!$A$1:$D$31,MATCH(Product_table!B$1,Product_table!$A$1:$D$1,0))</f>
        <v>Boat Speakers</v>
      </c>
      <c r="J74" t="str">
        <f>VLOOKUP(project!$C74,Product_table!$A$1:$D$31,MATCH(Product_table!C$1,Product_table!$A$1:$D$1,0))</f>
        <v>Electronics</v>
      </c>
      <c r="K74">
        <f>VLOOKUP(project!$C74,Product_table!$A$1:$D$31,MATCH(Product_table!D$1,Product_table!$A$1:$D$1,0))</f>
        <v>3500</v>
      </c>
      <c r="L74">
        <f>Table2[[#This Row],[Price]]*Table2[[#This Row],[Quantity]]</f>
        <v>7000</v>
      </c>
      <c r="M74">
        <f>Table2[[#This Row],[Profit]]/Table2[[#This Row],[Salse]]</f>
        <v>8.5714285714285715E-2</v>
      </c>
      <c r="N74">
        <f>YEAR(Table2[[#This Row],[OrderDate]])</f>
        <v>2024</v>
      </c>
      <c r="O74">
        <f>MONTH(Table2[[#This Row],[OrderDate]])</f>
        <v>3</v>
      </c>
      <c r="P74" t="str">
        <f>TEXT(Table2[[#This Row],[OrderDate]],"mmm")</f>
        <v>Mar</v>
      </c>
    </row>
    <row r="75" spans="1:16" x14ac:dyDescent="0.35">
      <c r="A75">
        <v>1074</v>
      </c>
      <c r="B75" t="s">
        <v>124</v>
      </c>
      <c r="C75" t="s">
        <v>77</v>
      </c>
      <c r="D75">
        <v>2</v>
      </c>
      <c r="E75" s="1">
        <v>45354</v>
      </c>
      <c r="F75">
        <v>900</v>
      </c>
      <c r="G75" t="str">
        <f>VLOOKUP(project!$B75,Customer!$A$1:$C$41,MATCH(Customer!B$1,Customer!$A$1:$C$1,0),FALSE)</f>
        <v>Jeet Kumar</v>
      </c>
      <c r="H75" t="str">
        <f>VLOOKUP(project!$B75,Customer!$A$1:$C$41,MATCH(Customer!C$1,Customer!$A$1:$C$1,0),FALSE)</f>
        <v>West</v>
      </c>
      <c r="I75" t="str">
        <f>VLOOKUP(project!$C75,Product_table!$A$1:$D$31,MATCH(Product_table!B$1,Product_table!$A$1:$D$1,0))</f>
        <v>Noise Headphones</v>
      </c>
      <c r="J75" t="str">
        <f>VLOOKUP(project!$C75,Product_table!$A$1:$D$31,MATCH(Product_table!C$1,Product_table!$A$1:$D$1,0))</f>
        <v>Accessories</v>
      </c>
      <c r="K75">
        <f>VLOOKUP(project!$C75,Product_table!$A$1:$D$31,MATCH(Product_table!D$1,Product_table!$A$1:$D$1,0))</f>
        <v>1999</v>
      </c>
      <c r="L75">
        <f>Table2[[#This Row],[Price]]*Table2[[#This Row],[Quantity]]</f>
        <v>3998</v>
      </c>
      <c r="M75">
        <f>Table2[[#This Row],[Profit]]/Table2[[#This Row],[Salse]]</f>
        <v>0.22511255627813906</v>
      </c>
      <c r="N75">
        <f>YEAR(Table2[[#This Row],[OrderDate]])</f>
        <v>2024</v>
      </c>
      <c r="O75">
        <f>MONTH(Table2[[#This Row],[OrderDate]])</f>
        <v>3</v>
      </c>
      <c r="P75" t="str">
        <f>TEXT(Table2[[#This Row],[OrderDate]],"mmm")</f>
        <v>Mar</v>
      </c>
    </row>
    <row r="76" spans="1:16" x14ac:dyDescent="0.35">
      <c r="A76">
        <v>1075</v>
      </c>
      <c r="B76" t="s">
        <v>125</v>
      </c>
      <c r="C76" t="s">
        <v>69</v>
      </c>
      <c r="D76">
        <v>1</v>
      </c>
      <c r="E76" s="1">
        <v>45355</v>
      </c>
      <c r="F76">
        <v>1900</v>
      </c>
      <c r="G76" t="str">
        <f>VLOOKUP(project!$B76,Customer!$A$1:$C$41,MATCH(Customer!B$1,Customer!$A$1:$C$1,0),FALSE)</f>
        <v>Ritika Bose</v>
      </c>
      <c r="H76" t="str">
        <f>VLOOKUP(project!$B76,Customer!$A$1:$C$41,MATCH(Customer!C$1,Customer!$A$1:$C$1,0),FALSE)</f>
        <v>East</v>
      </c>
      <c r="I76" t="str">
        <f>VLOOKUP(project!$C76,Product_table!$A$1:$D$31,MATCH(Product_table!B$1,Product_table!$A$1:$D$1,0))</f>
        <v>Amazon Echo Dot</v>
      </c>
      <c r="J76" t="str">
        <f>VLOOKUP(project!$C76,Product_table!$A$1:$D$31,MATCH(Product_table!C$1,Product_table!$A$1:$D$1,0))</f>
        <v>Electronics</v>
      </c>
      <c r="K76">
        <f>VLOOKUP(project!$C76,Product_table!$A$1:$D$31,MATCH(Product_table!D$1,Product_table!$A$1:$D$1,0))</f>
        <v>4500</v>
      </c>
      <c r="L76">
        <f>Table2[[#This Row],[Price]]*Table2[[#This Row],[Quantity]]</f>
        <v>4500</v>
      </c>
      <c r="M76">
        <f>Table2[[#This Row],[Profit]]/Table2[[#This Row],[Salse]]</f>
        <v>0.42222222222222222</v>
      </c>
      <c r="N76">
        <f>YEAR(Table2[[#This Row],[OrderDate]])</f>
        <v>2024</v>
      </c>
      <c r="O76">
        <f>MONTH(Table2[[#This Row],[OrderDate]])</f>
        <v>3</v>
      </c>
      <c r="P76" t="str">
        <f>TEXT(Table2[[#This Row],[OrderDate]],"mmm")</f>
        <v>Mar</v>
      </c>
    </row>
    <row r="77" spans="1:16" x14ac:dyDescent="0.35">
      <c r="A77">
        <v>1076</v>
      </c>
      <c r="B77" t="s">
        <v>127</v>
      </c>
      <c r="C77" t="s">
        <v>107</v>
      </c>
      <c r="D77">
        <v>1</v>
      </c>
      <c r="E77" s="1">
        <v>45356</v>
      </c>
      <c r="F77">
        <v>15000</v>
      </c>
      <c r="G77" t="str">
        <f>VLOOKUP(project!$B77,Customer!$A$1:$C$41,MATCH(Customer!B$1,Customer!$A$1:$C$1,0),FALSE)</f>
        <v>Vaishali Patel</v>
      </c>
      <c r="H77" t="str">
        <f>VLOOKUP(project!$B77,Customer!$A$1:$C$41,MATCH(Customer!C$1,Customer!$A$1:$C$1,0),FALSE)</f>
        <v>North</v>
      </c>
      <c r="I77" t="str">
        <f>VLOOKUP(project!$C77,Product_table!$A$1:$D$31,MATCH(Product_table!B$1,Product_table!$A$1:$D$1,0))</f>
        <v>Backpack</v>
      </c>
      <c r="J77" t="str">
        <f>VLOOKUP(project!$C77,Product_table!$A$1:$D$31,MATCH(Product_table!C$1,Product_table!$A$1:$D$1,0))</f>
        <v>Accessories</v>
      </c>
      <c r="K77">
        <f>VLOOKUP(project!$C77,Product_table!$A$1:$D$31,MATCH(Product_table!D$1,Product_table!$A$1:$D$1,0))</f>
        <v>1299</v>
      </c>
      <c r="L77">
        <f>Table2[[#This Row],[Price]]*Table2[[#This Row],[Quantity]]</f>
        <v>1299</v>
      </c>
      <c r="M77">
        <f>Table2[[#This Row],[Profit]]/Table2[[#This Row],[Salse]]</f>
        <v>11.547344110854503</v>
      </c>
      <c r="N77">
        <f>YEAR(Table2[[#This Row],[OrderDate]])</f>
        <v>2024</v>
      </c>
      <c r="O77">
        <f>MONTH(Table2[[#This Row],[OrderDate]])</f>
        <v>3</v>
      </c>
      <c r="P77" t="str">
        <f>TEXT(Table2[[#This Row],[OrderDate]],"mmm")</f>
        <v>Mar</v>
      </c>
    </row>
    <row r="78" spans="1:16" x14ac:dyDescent="0.35">
      <c r="A78">
        <v>1077</v>
      </c>
      <c r="B78" t="s">
        <v>129</v>
      </c>
      <c r="C78" t="s">
        <v>118</v>
      </c>
      <c r="D78">
        <v>1</v>
      </c>
      <c r="E78" s="1">
        <v>45357</v>
      </c>
      <c r="F78">
        <v>1200</v>
      </c>
      <c r="G78" t="str">
        <f>VLOOKUP(project!$B78,Customer!$A$1:$C$41,MATCH(Customer!B$1,Customer!$A$1:$C$1,0),FALSE)</f>
        <v>Amit Mehta</v>
      </c>
      <c r="H78" t="str">
        <f>VLOOKUP(project!$B78,Customer!$A$1:$C$41,MATCH(Customer!C$1,Customer!$A$1:$C$1,0),FALSE)</f>
        <v>South</v>
      </c>
      <c r="I78" t="str">
        <f>VLOOKUP(project!$C78,Product_table!$A$1:$D$31,MATCH(Product_table!B$1,Product_table!$A$1:$D$1,0))</f>
        <v>Gaming Mouse</v>
      </c>
      <c r="J78" t="str">
        <f>VLOOKUP(project!$C78,Product_table!$A$1:$D$31,MATCH(Product_table!C$1,Product_table!$A$1:$D$1,0))</f>
        <v>Electronics</v>
      </c>
      <c r="K78">
        <f>VLOOKUP(project!$C78,Product_table!$A$1:$D$31,MATCH(Product_table!D$1,Product_table!$A$1:$D$1,0))</f>
        <v>1999</v>
      </c>
      <c r="L78">
        <f>Table2[[#This Row],[Price]]*Table2[[#This Row],[Quantity]]</f>
        <v>1999</v>
      </c>
      <c r="M78">
        <f>Table2[[#This Row],[Profit]]/Table2[[#This Row],[Salse]]</f>
        <v>0.60030015007503756</v>
      </c>
      <c r="N78">
        <f>YEAR(Table2[[#This Row],[OrderDate]])</f>
        <v>2024</v>
      </c>
      <c r="O78">
        <f>MONTH(Table2[[#This Row],[OrderDate]])</f>
        <v>3</v>
      </c>
      <c r="P78" t="str">
        <f>TEXT(Table2[[#This Row],[OrderDate]],"mmm")</f>
        <v>Mar</v>
      </c>
    </row>
    <row r="79" spans="1:16" x14ac:dyDescent="0.35">
      <c r="A79">
        <v>1078</v>
      </c>
      <c r="B79" t="s">
        <v>130</v>
      </c>
      <c r="C79" t="s">
        <v>88</v>
      </c>
      <c r="D79">
        <v>1</v>
      </c>
      <c r="E79" s="1">
        <v>45358</v>
      </c>
      <c r="F79">
        <v>2000</v>
      </c>
      <c r="G79" t="str">
        <f>VLOOKUP(project!$B79,Customer!$A$1:$C$41,MATCH(Customer!B$1,Customer!$A$1:$C$1,0),FALSE)</f>
        <v>Tanvi Shah</v>
      </c>
      <c r="H79" t="str">
        <f>VLOOKUP(project!$B79,Customer!$A$1:$C$41,MATCH(Customer!C$1,Customer!$A$1:$C$1,0),FALSE)</f>
        <v>West</v>
      </c>
      <c r="I79" t="str">
        <f>VLOOKUP(project!$C79,Product_table!$A$1:$D$31,MATCH(Product_table!B$1,Product_table!$A$1:$D$1,0))</f>
        <v>Office Desk</v>
      </c>
      <c r="J79" t="str">
        <f>VLOOKUP(project!$C79,Product_table!$A$1:$D$31,MATCH(Product_table!C$1,Product_table!$A$1:$D$1,0))</f>
        <v>Furniture</v>
      </c>
      <c r="K79">
        <f>VLOOKUP(project!$C79,Product_table!$A$1:$D$31,MATCH(Product_table!D$1,Product_table!$A$1:$D$1,0))</f>
        <v>8500</v>
      </c>
      <c r="L79">
        <f>Table2[[#This Row],[Price]]*Table2[[#This Row],[Quantity]]</f>
        <v>8500</v>
      </c>
      <c r="M79">
        <f>Table2[[#This Row],[Profit]]/Table2[[#This Row],[Salse]]</f>
        <v>0.23529411764705882</v>
      </c>
      <c r="N79">
        <f>YEAR(Table2[[#This Row],[OrderDate]])</f>
        <v>2024</v>
      </c>
      <c r="O79">
        <f>MONTH(Table2[[#This Row],[OrderDate]])</f>
        <v>3</v>
      </c>
      <c r="P79" t="str">
        <f>TEXT(Table2[[#This Row],[OrderDate]],"mmm")</f>
        <v>Mar</v>
      </c>
    </row>
    <row r="80" spans="1:16" x14ac:dyDescent="0.35">
      <c r="A80">
        <v>1079</v>
      </c>
      <c r="B80" t="s">
        <v>131</v>
      </c>
      <c r="C80" t="s">
        <v>86</v>
      </c>
      <c r="D80">
        <v>2</v>
      </c>
      <c r="E80" s="1">
        <v>45359</v>
      </c>
      <c r="F80">
        <v>2000</v>
      </c>
      <c r="G80" t="str">
        <f>VLOOKUP(project!$B80,Customer!$A$1:$C$41,MATCH(Customer!B$1,Customer!$A$1:$C$1,0),FALSE)</f>
        <v>Siddharth Jain</v>
      </c>
      <c r="H80" t="str">
        <f>VLOOKUP(project!$B80,Customer!$A$1:$C$41,MATCH(Customer!C$1,Customer!$A$1:$C$1,0),FALSE)</f>
        <v>East</v>
      </c>
      <c r="I80" t="str">
        <f>VLOOKUP(project!$C80,Product_table!$A$1:$D$31,MATCH(Product_table!B$1,Product_table!$A$1:$D$1,0))</f>
        <v>Comfort Chair</v>
      </c>
      <c r="J80" t="str">
        <f>VLOOKUP(project!$C80,Product_table!$A$1:$D$31,MATCH(Product_table!C$1,Product_table!$A$1:$D$1,0))</f>
        <v>Furniture</v>
      </c>
      <c r="K80">
        <f>VLOOKUP(project!$C80,Product_table!$A$1:$D$31,MATCH(Product_table!D$1,Product_table!$A$1:$D$1,0))</f>
        <v>5500</v>
      </c>
      <c r="L80">
        <f>Table2[[#This Row],[Price]]*Table2[[#This Row],[Quantity]]</f>
        <v>11000</v>
      </c>
      <c r="M80">
        <f>Table2[[#This Row],[Profit]]/Table2[[#This Row],[Salse]]</f>
        <v>0.18181818181818182</v>
      </c>
      <c r="N80">
        <f>YEAR(Table2[[#This Row],[OrderDate]])</f>
        <v>2024</v>
      </c>
      <c r="O80">
        <f>MONTH(Table2[[#This Row],[OrderDate]])</f>
        <v>3</v>
      </c>
      <c r="P80" t="str">
        <f>TEXT(Table2[[#This Row],[OrderDate]],"mmm")</f>
        <v>Mar</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C1D7-29BC-4D7C-BB5F-65F43FA2DEAE}">
  <dimension ref="A1:J51"/>
  <sheetViews>
    <sheetView zoomScale="43" workbookViewId="0">
      <selection activeCell="X11" sqref="X11"/>
    </sheetView>
  </sheetViews>
  <sheetFormatPr defaultRowHeight="14.5" x14ac:dyDescent="0.35"/>
  <cols>
    <col min="1" max="1" width="20.36328125" bestFit="1" customWidth="1"/>
    <col min="2" max="3" width="17.1796875" bestFit="1" customWidth="1"/>
    <col min="5" max="5" width="20.36328125" bestFit="1" customWidth="1"/>
    <col min="6" max="6" width="17.1796875" bestFit="1" customWidth="1"/>
    <col min="8" max="8" width="7.6328125" customWidth="1"/>
    <col min="9" max="9" width="20.36328125" bestFit="1" customWidth="1"/>
    <col min="10" max="10" width="17.1796875" bestFit="1" customWidth="1"/>
    <col min="11" max="11" width="12.26953125" bestFit="1" customWidth="1"/>
  </cols>
  <sheetData>
    <row r="1" spans="1:10" x14ac:dyDescent="0.35">
      <c r="A1" s="2" t="s">
        <v>166</v>
      </c>
      <c r="B1" t="s">
        <v>168</v>
      </c>
      <c r="E1" s="2" t="s">
        <v>166</v>
      </c>
      <c r="F1" t="s">
        <v>168</v>
      </c>
      <c r="I1" s="2" t="s">
        <v>166</v>
      </c>
      <c r="J1" t="s">
        <v>168</v>
      </c>
    </row>
    <row r="2" spans="1:10" x14ac:dyDescent="0.35">
      <c r="A2" s="3" t="s">
        <v>20</v>
      </c>
      <c r="B2">
        <v>182875</v>
      </c>
      <c r="E2" s="3" t="s">
        <v>18</v>
      </c>
      <c r="F2">
        <v>75128</v>
      </c>
      <c r="I2" s="3" t="s">
        <v>169</v>
      </c>
      <c r="J2">
        <v>413003</v>
      </c>
    </row>
    <row r="3" spans="1:10" x14ac:dyDescent="0.35">
      <c r="A3" s="3" t="s">
        <v>9</v>
      </c>
      <c r="B3">
        <v>127775</v>
      </c>
      <c r="E3" s="3" t="s">
        <v>11</v>
      </c>
      <c r="F3">
        <v>601685</v>
      </c>
      <c r="I3" s="3" t="s">
        <v>170</v>
      </c>
      <c r="J3">
        <v>220913</v>
      </c>
    </row>
    <row r="4" spans="1:10" x14ac:dyDescent="0.35">
      <c r="A4" s="3" t="s">
        <v>13</v>
      </c>
      <c r="B4">
        <v>139676</v>
      </c>
      <c r="E4" s="3" t="s">
        <v>143</v>
      </c>
      <c r="F4">
        <v>1800</v>
      </c>
      <c r="I4" s="3" t="s">
        <v>171</v>
      </c>
      <c r="J4">
        <v>98295</v>
      </c>
    </row>
    <row r="5" spans="1:10" x14ac:dyDescent="0.35">
      <c r="A5" s="3" t="s">
        <v>16</v>
      </c>
      <c r="B5">
        <v>281885</v>
      </c>
      <c r="E5" s="3" t="s">
        <v>28</v>
      </c>
      <c r="F5">
        <v>53000</v>
      </c>
      <c r="I5" s="3" t="s">
        <v>167</v>
      </c>
      <c r="J5">
        <v>732211</v>
      </c>
    </row>
    <row r="6" spans="1:10" x14ac:dyDescent="0.35">
      <c r="A6" s="3" t="s">
        <v>167</v>
      </c>
      <c r="B6">
        <v>732211</v>
      </c>
      <c r="E6" s="3" t="s">
        <v>145</v>
      </c>
      <c r="F6">
        <v>598</v>
      </c>
    </row>
    <row r="7" spans="1:10" x14ac:dyDescent="0.35">
      <c r="E7" s="3" t="s">
        <v>167</v>
      </c>
      <c r="F7">
        <v>732211</v>
      </c>
    </row>
    <row r="10" spans="1:10" x14ac:dyDescent="0.35">
      <c r="A10" s="2" t="s">
        <v>166</v>
      </c>
      <c r="B10" t="s">
        <v>172</v>
      </c>
      <c r="E10" s="2" t="s">
        <v>166</v>
      </c>
      <c r="F10" t="s">
        <v>172</v>
      </c>
      <c r="I10" s="2" t="s">
        <v>166</v>
      </c>
      <c r="J10" t="s">
        <v>172</v>
      </c>
    </row>
    <row r="11" spans="1:10" x14ac:dyDescent="0.35">
      <c r="A11" s="3" t="s">
        <v>20</v>
      </c>
      <c r="B11">
        <v>36300</v>
      </c>
      <c r="E11" s="3" t="s">
        <v>20</v>
      </c>
      <c r="I11" s="3" t="s">
        <v>169</v>
      </c>
      <c r="J11">
        <v>104230</v>
      </c>
    </row>
    <row r="12" spans="1:10" x14ac:dyDescent="0.35">
      <c r="A12" s="3" t="s">
        <v>9</v>
      </c>
      <c r="B12">
        <v>100750</v>
      </c>
      <c r="E12" s="4" t="s">
        <v>18</v>
      </c>
      <c r="F12">
        <v>8250</v>
      </c>
      <c r="I12" s="3" t="s">
        <v>170</v>
      </c>
      <c r="J12">
        <v>73750</v>
      </c>
    </row>
    <row r="13" spans="1:10" x14ac:dyDescent="0.35">
      <c r="A13" s="3" t="s">
        <v>13</v>
      </c>
      <c r="B13">
        <v>44350</v>
      </c>
      <c r="E13" s="4" t="s">
        <v>11</v>
      </c>
      <c r="F13">
        <v>25200</v>
      </c>
      <c r="I13" s="3" t="s">
        <v>171</v>
      </c>
      <c r="J13">
        <v>25350</v>
      </c>
    </row>
    <row r="14" spans="1:10" x14ac:dyDescent="0.35">
      <c r="A14" s="3" t="s">
        <v>16</v>
      </c>
      <c r="B14">
        <v>21930</v>
      </c>
      <c r="E14" s="4" t="s">
        <v>28</v>
      </c>
      <c r="F14">
        <v>2000</v>
      </c>
      <c r="I14" s="3" t="s">
        <v>167</v>
      </c>
      <c r="J14">
        <v>203330</v>
      </c>
    </row>
    <row r="15" spans="1:10" x14ac:dyDescent="0.35">
      <c r="A15" s="3" t="s">
        <v>167</v>
      </c>
      <c r="B15">
        <v>203330</v>
      </c>
      <c r="E15" s="4" t="s">
        <v>145</v>
      </c>
      <c r="F15">
        <v>850</v>
      </c>
    </row>
    <row r="16" spans="1:10" x14ac:dyDescent="0.35">
      <c r="E16" s="3" t="s">
        <v>9</v>
      </c>
    </row>
    <row r="17" spans="1:10" x14ac:dyDescent="0.35">
      <c r="E17" s="4" t="s">
        <v>18</v>
      </c>
      <c r="F17">
        <v>89950</v>
      </c>
    </row>
    <row r="18" spans="1:10" x14ac:dyDescent="0.35">
      <c r="E18" s="4" t="s">
        <v>11</v>
      </c>
      <c r="F18">
        <v>9500</v>
      </c>
    </row>
    <row r="19" spans="1:10" x14ac:dyDescent="0.35">
      <c r="A19" s="2" t="s">
        <v>166</v>
      </c>
      <c r="B19" t="s">
        <v>172</v>
      </c>
      <c r="C19" t="s">
        <v>168</v>
      </c>
      <c r="E19" s="4" t="s">
        <v>28</v>
      </c>
      <c r="F19">
        <v>1300</v>
      </c>
    </row>
    <row r="20" spans="1:10" x14ac:dyDescent="0.35">
      <c r="A20" s="3" t="s">
        <v>10</v>
      </c>
      <c r="B20">
        <v>34100</v>
      </c>
      <c r="C20">
        <v>36000</v>
      </c>
      <c r="E20" s="3" t="s">
        <v>13</v>
      </c>
      <c r="I20" s="9" t="s">
        <v>173</v>
      </c>
      <c r="J20" s="10"/>
    </row>
    <row r="21" spans="1:10" x14ac:dyDescent="0.35">
      <c r="A21" s="3" t="s">
        <v>23</v>
      </c>
      <c r="B21">
        <v>1500</v>
      </c>
      <c r="C21">
        <v>92000</v>
      </c>
      <c r="E21" s="4" t="s">
        <v>18</v>
      </c>
      <c r="F21">
        <v>21250</v>
      </c>
      <c r="I21" s="10"/>
      <c r="J21" s="10"/>
    </row>
    <row r="22" spans="1:10" ht="15" customHeight="1" x14ac:dyDescent="0.35">
      <c r="A22" s="3" t="s">
        <v>149</v>
      </c>
      <c r="B22">
        <v>16400</v>
      </c>
      <c r="C22">
        <v>3897</v>
      </c>
      <c r="E22" s="4" t="s">
        <v>11</v>
      </c>
      <c r="F22">
        <v>21900</v>
      </c>
      <c r="I22" s="8">
        <f>SUM(project!L2:L80)</f>
        <v>732211</v>
      </c>
      <c r="J22" s="8"/>
    </row>
    <row r="23" spans="1:10" ht="14.5" customHeight="1" x14ac:dyDescent="0.35">
      <c r="A23" s="3" t="s">
        <v>25</v>
      </c>
      <c r="B23">
        <v>4380</v>
      </c>
      <c r="C23">
        <v>28000</v>
      </c>
      <c r="E23" s="4" t="s">
        <v>143</v>
      </c>
      <c r="F23">
        <v>900</v>
      </c>
      <c r="I23" s="8"/>
      <c r="J23" s="8"/>
    </row>
    <row r="24" spans="1:10" ht="14.5" customHeight="1" x14ac:dyDescent="0.35">
      <c r="A24" s="3" t="s">
        <v>27</v>
      </c>
      <c r="B24">
        <v>4200</v>
      </c>
      <c r="C24">
        <v>27500</v>
      </c>
      <c r="E24" s="4" t="s">
        <v>28</v>
      </c>
      <c r="F24">
        <v>300</v>
      </c>
      <c r="I24" s="8"/>
      <c r="J24" s="8"/>
    </row>
    <row r="25" spans="1:10" ht="14.5" customHeight="1" x14ac:dyDescent="0.35">
      <c r="A25" s="3" t="s">
        <v>150</v>
      </c>
      <c r="B25">
        <v>1250</v>
      </c>
      <c r="C25">
        <v>3495</v>
      </c>
      <c r="E25" s="3" t="s">
        <v>16</v>
      </c>
      <c r="I25" s="8"/>
      <c r="J25" s="8"/>
    </row>
    <row r="26" spans="1:10" ht="14.5" customHeight="1" x14ac:dyDescent="0.35">
      <c r="A26" s="3" t="s">
        <v>14</v>
      </c>
      <c r="B26">
        <v>2900</v>
      </c>
      <c r="C26">
        <v>14995</v>
      </c>
      <c r="E26" s="4" t="s">
        <v>18</v>
      </c>
      <c r="F26">
        <v>6050</v>
      </c>
      <c r="I26" s="8"/>
      <c r="J26" s="8"/>
    </row>
    <row r="27" spans="1:10" ht="14.5" customHeight="1" x14ac:dyDescent="0.35">
      <c r="A27" s="3" t="s">
        <v>140</v>
      </c>
      <c r="B27">
        <v>5800</v>
      </c>
      <c r="C27">
        <v>9995</v>
      </c>
      <c r="E27" s="4" t="s">
        <v>11</v>
      </c>
      <c r="F27">
        <v>11180</v>
      </c>
      <c r="I27" s="8"/>
      <c r="J27" s="8"/>
    </row>
    <row r="28" spans="1:10" x14ac:dyDescent="0.35">
      <c r="A28" s="3" t="s">
        <v>32</v>
      </c>
      <c r="B28">
        <v>4800</v>
      </c>
      <c r="C28">
        <v>348000</v>
      </c>
      <c r="E28" s="4" t="s">
        <v>28</v>
      </c>
      <c r="F28">
        <v>4700</v>
      </c>
    </row>
    <row r="29" spans="1:10" x14ac:dyDescent="0.35">
      <c r="A29" s="3" t="s">
        <v>30</v>
      </c>
      <c r="B29">
        <v>850</v>
      </c>
      <c r="C29">
        <v>4495</v>
      </c>
    </row>
    <row r="30" spans="1:10" x14ac:dyDescent="0.35">
      <c r="A30" s="3" t="s">
        <v>136</v>
      </c>
      <c r="B30">
        <v>1250</v>
      </c>
      <c r="C30">
        <v>25000</v>
      </c>
      <c r="I30">
        <f>sum_of_the_salse</f>
        <v>732211</v>
      </c>
    </row>
    <row r="31" spans="1:10" x14ac:dyDescent="0.35">
      <c r="A31" s="3" t="s">
        <v>21</v>
      </c>
      <c r="B31">
        <v>6000</v>
      </c>
      <c r="C31">
        <v>3887</v>
      </c>
    </row>
    <row r="32" spans="1:10" x14ac:dyDescent="0.35">
      <c r="A32" s="3" t="s">
        <v>17</v>
      </c>
      <c r="B32">
        <v>81200</v>
      </c>
      <c r="C32">
        <v>47976</v>
      </c>
    </row>
    <row r="33" spans="1:6" x14ac:dyDescent="0.35">
      <c r="A33" s="3" t="s">
        <v>144</v>
      </c>
      <c r="B33">
        <v>850</v>
      </c>
      <c r="C33">
        <v>598</v>
      </c>
      <c r="E33" t="s">
        <v>166</v>
      </c>
      <c r="F33" t="s">
        <v>172</v>
      </c>
    </row>
    <row r="34" spans="1:6" x14ac:dyDescent="0.35">
      <c r="A34" s="3" t="s">
        <v>135</v>
      </c>
      <c r="B34">
        <v>4100</v>
      </c>
      <c r="C34">
        <v>25500</v>
      </c>
      <c r="E34" t="s">
        <v>20</v>
      </c>
    </row>
    <row r="35" spans="1:6" x14ac:dyDescent="0.35">
      <c r="A35" s="3" t="s">
        <v>146</v>
      </c>
      <c r="B35">
        <v>2900</v>
      </c>
      <c r="C35">
        <v>2397</v>
      </c>
      <c r="E35" t="s">
        <v>18</v>
      </c>
      <c r="F35">
        <v>8250</v>
      </c>
    </row>
    <row r="36" spans="1:6" x14ac:dyDescent="0.35">
      <c r="A36" s="3" t="s">
        <v>154</v>
      </c>
      <c r="B36">
        <v>900</v>
      </c>
      <c r="C36">
        <v>9500</v>
      </c>
      <c r="E36" t="s">
        <v>11</v>
      </c>
      <c r="F36">
        <v>25200</v>
      </c>
    </row>
    <row r="37" spans="1:6" x14ac:dyDescent="0.35">
      <c r="A37" s="3" t="s">
        <v>142</v>
      </c>
      <c r="B37">
        <v>900</v>
      </c>
      <c r="C37">
        <v>1800</v>
      </c>
      <c r="E37" t="s">
        <v>28</v>
      </c>
      <c r="F37">
        <v>2000</v>
      </c>
    </row>
    <row r="38" spans="1:6" x14ac:dyDescent="0.35">
      <c r="A38" s="3" t="s">
        <v>151</v>
      </c>
      <c r="B38">
        <v>2900</v>
      </c>
      <c r="C38">
        <v>1798</v>
      </c>
      <c r="E38" t="s">
        <v>145</v>
      </c>
      <c r="F38">
        <v>850</v>
      </c>
    </row>
    <row r="39" spans="1:6" x14ac:dyDescent="0.35">
      <c r="A39" s="3" t="s">
        <v>36</v>
      </c>
      <c r="B39">
        <v>5550</v>
      </c>
      <c r="C39">
        <v>31500</v>
      </c>
      <c r="E39" t="s">
        <v>9</v>
      </c>
    </row>
    <row r="40" spans="1:6" x14ac:dyDescent="0.35">
      <c r="A40" s="3" t="s">
        <v>139</v>
      </c>
      <c r="B40">
        <v>13500</v>
      </c>
      <c r="C40">
        <v>2994</v>
      </c>
      <c r="E40" t="s">
        <v>18</v>
      </c>
      <c r="F40">
        <v>89950</v>
      </c>
    </row>
    <row r="41" spans="1:6" x14ac:dyDescent="0.35">
      <c r="A41" s="3" t="s">
        <v>34</v>
      </c>
      <c r="B41">
        <v>4800</v>
      </c>
      <c r="C41">
        <v>1992</v>
      </c>
      <c r="E41" t="s">
        <v>11</v>
      </c>
      <c r="F41">
        <v>9500</v>
      </c>
    </row>
    <row r="42" spans="1:6" x14ac:dyDescent="0.35">
      <c r="A42" s="3" t="s">
        <v>141</v>
      </c>
      <c r="B42">
        <v>800</v>
      </c>
      <c r="C42">
        <v>2500</v>
      </c>
      <c r="E42" t="s">
        <v>28</v>
      </c>
      <c r="F42">
        <v>1300</v>
      </c>
    </row>
    <row r="43" spans="1:6" x14ac:dyDescent="0.35">
      <c r="A43" s="3" t="s">
        <v>132</v>
      </c>
      <c r="B43">
        <v>1500</v>
      </c>
      <c r="C43">
        <v>6392</v>
      </c>
      <c r="E43" t="s">
        <v>13</v>
      </c>
    </row>
    <row r="44" spans="1:6" x14ac:dyDescent="0.35">
      <c r="A44" s="3" t="s">
        <v>167</v>
      </c>
      <c r="B44">
        <v>203330</v>
      </c>
      <c r="C44">
        <v>732211</v>
      </c>
      <c r="E44" t="s">
        <v>18</v>
      </c>
      <c r="F44">
        <v>21250</v>
      </c>
    </row>
    <row r="45" spans="1:6" x14ac:dyDescent="0.35">
      <c r="E45" t="s">
        <v>11</v>
      </c>
      <c r="F45">
        <v>21900</v>
      </c>
    </row>
    <row r="46" spans="1:6" x14ac:dyDescent="0.35">
      <c r="E46" t="s">
        <v>143</v>
      </c>
      <c r="F46">
        <v>900</v>
      </c>
    </row>
    <row r="47" spans="1:6" x14ac:dyDescent="0.35">
      <c r="E47" t="s">
        <v>28</v>
      </c>
      <c r="F47">
        <v>300</v>
      </c>
    </row>
    <row r="48" spans="1:6" x14ac:dyDescent="0.35">
      <c r="E48" t="s">
        <v>16</v>
      </c>
    </row>
    <row r="49" spans="5:6" x14ac:dyDescent="0.35">
      <c r="E49" t="s">
        <v>18</v>
      </c>
      <c r="F49">
        <v>6050</v>
      </c>
    </row>
    <row r="50" spans="5:6" x14ac:dyDescent="0.35">
      <c r="E50" t="s">
        <v>11</v>
      </c>
      <c r="F50">
        <v>11180</v>
      </c>
    </row>
    <row r="51" spans="5:6" x14ac:dyDescent="0.35">
      <c r="E51" t="s">
        <v>28</v>
      </c>
      <c r="F51">
        <v>4700</v>
      </c>
    </row>
  </sheetData>
  <mergeCells count="2">
    <mergeCell ref="I22:J27"/>
    <mergeCell ref="I20:J21"/>
  </mergeCells>
  <pageMargins left="0.7" right="0.7" top="0.75" bottom="0.75" header="0.3" footer="0.3"/>
  <drawing r:id="rId8"/>
  <extLst>
    <ext xmlns:x15="http://schemas.microsoft.com/office/spreadsheetml/2010/11/main" uri="{7E03D99C-DC04-49d9-9315-930204A7B6E9}">
      <x15:timelineRefs>
        <x15:timelineRef r:id="rId9"/>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ED51-3E53-464E-B468-86F37BE484E2}">
  <dimension ref="A1:AE42"/>
  <sheetViews>
    <sheetView showGridLines="0" tabSelected="1" zoomScale="64" zoomScaleNormal="77" workbookViewId="0">
      <selection activeCell="AA2" sqref="AA2"/>
    </sheetView>
  </sheetViews>
  <sheetFormatPr defaultRowHeight="14.5" x14ac:dyDescent="0.35"/>
  <cols>
    <col min="2" max="2" width="8.7265625" style="6"/>
  </cols>
  <sheetData>
    <row r="1" spans="1:31" x14ac:dyDescent="0.35">
      <c r="A1" s="6"/>
      <c r="C1" s="5"/>
      <c r="D1" s="5"/>
      <c r="E1" s="5"/>
      <c r="F1" s="5"/>
      <c r="G1" s="5"/>
      <c r="H1" s="5"/>
      <c r="I1" s="5"/>
      <c r="J1" s="5"/>
      <c r="K1" s="5"/>
      <c r="L1" s="5"/>
      <c r="M1" s="5"/>
      <c r="N1" s="5"/>
      <c r="O1" s="5"/>
      <c r="P1" s="5"/>
      <c r="Q1" s="5"/>
      <c r="R1" s="5"/>
      <c r="S1" s="5"/>
      <c r="T1" s="5"/>
      <c r="U1" s="5"/>
      <c r="V1" s="5"/>
      <c r="W1" s="5"/>
      <c r="X1" s="5"/>
      <c r="Y1" s="5"/>
      <c r="Z1" s="6"/>
      <c r="AA1" s="6"/>
      <c r="AB1" s="6"/>
      <c r="AC1" s="6"/>
      <c r="AD1" s="6"/>
      <c r="AE1" s="6"/>
    </row>
    <row r="2" spans="1:31" x14ac:dyDescent="0.35">
      <c r="A2" s="6"/>
      <c r="C2" s="5"/>
      <c r="D2" s="5"/>
      <c r="E2" s="5"/>
      <c r="F2" s="5"/>
      <c r="G2" s="5"/>
      <c r="H2" s="5"/>
      <c r="I2" s="5"/>
      <c r="J2" s="5"/>
      <c r="K2" s="5"/>
      <c r="L2" s="5"/>
      <c r="M2" s="5"/>
      <c r="N2" s="5"/>
      <c r="O2" s="5"/>
      <c r="P2" s="5"/>
      <c r="Q2" s="5"/>
      <c r="R2" s="5"/>
      <c r="S2" s="5"/>
      <c r="T2" s="5"/>
      <c r="U2" s="5"/>
      <c r="V2" s="5"/>
      <c r="W2" s="5"/>
      <c r="X2" s="5"/>
      <c r="Y2" s="5"/>
      <c r="Z2" s="6"/>
      <c r="AA2" s="6"/>
      <c r="AB2" s="6"/>
      <c r="AC2" s="6"/>
      <c r="AD2" s="6"/>
      <c r="AE2" s="6"/>
    </row>
    <row r="3" spans="1:31" ht="17.5" customHeight="1" x14ac:dyDescent="0.35">
      <c r="A3" s="6"/>
      <c r="C3" s="5"/>
      <c r="D3" s="5"/>
      <c r="E3" s="11" t="s">
        <v>174</v>
      </c>
      <c r="F3" s="12"/>
      <c r="G3" s="12"/>
      <c r="H3" s="12"/>
      <c r="I3" s="5"/>
      <c r="J3" s="5"/>
      <c r="K3" s="5"/>
      <c r="L3" s="5"/>
      <c r="M3" s="5"/>
      <c r="N3" s="5"/>
      <c r="O3" s="5"/>
      <c r="P3" s="5"/>
      <c r="Q3" s="5"/>
      <c r="R3" s="5"/>
      <c r="S3" s="5"/>
      <c r="T3" s="5"/>
      <c r="U3" s="5"/>
      <c r="V3" s="5"/>
      <c r="W3" s="5"/>
      <c r="X3" s="5"/>
      <c r="Y3" s="5"/>
      <c r="Z3" s="6"/>
      <c r="AA3" s="6"/>
      <c r="AB3" s="6"/>
      <c r="AC3" s="6"/>
      <c r="AD3" s="6"/>
      <c r="AE3" s="6"/>
    </row>
    <row r="4" spans="1:31" ht="14.5" customHeight="1" x14ac:dyDescent="0.35">
      <c r="A4" s="6"/>
      <c r="C4" s="5"/>
      <c r="D4" s="5"/>
      <c r="E4" s="12"/>
      <c r="F4" s="12"/>
      <c r="G4" s="12"/>
      <c r="H4" s="12"/>
      <c r="I4" s="5"/>
      <c r="J4" s="5"/>
      <c r="K4" s="5"/>
      <c r="L4" s="5"/>
      <c r="M4" s="5"/>
      <c r="N4" s="5"/>
      <c r="O4" s="5"/>
      <c r="P4" s="5"/>
      <c r="Q4" s="5"/>
      <c r="R4" s="5"/>
      <c r="S4" s="5"/>
      <c r="T4" s="5"/>
      <c r="U4" s="5"/>
      <c r="V4" s="5"/>
      <c r="W4" s="5"/>
      <c r="X4" s="5"/>
      <c r="Y4" s="5"/>
      <c r="Z4" s="6"/>
      <c r="AA4" s="6"/>
      <c r="AB4" s="6"/>
      <c r="AC4" s="6"/>
      <c r="AD4" s="6"/>
      <c r="AE4" s="6"/>
    </row>
    <row r="5" spans="1:31" x14ac:dyDescent="0.35">
      <c r="A5" s="6"/>
      <c r="C5" s="5"/>
      <c r="D5" s="5"/>
      <c r="E5" s="5"/>
      <c r="F5" s="5"/>
      <c r="G5" s="5"/>
      <c r="H5" s="5"/>
      <c r="I5" s="5"/>
      <c r="J5" s="5"/>
      <c r="K5" s="5"/>
      <c r="L5" s="5"/>
      <c r="M5" s="5"/>
      <c r="N5" s="5"/>
      <c r="O5" s="5"/>
      <c r="P5" s="5"/>
      <c r="Q5" s="5"/>
      <c r="R5" s="5"/>
      <c r="S5" s="5"/>
      <c r="T5" s="5"/>
      <c r="U5" s="5"/>
      <c r="V5" s="5"/>
      <c r="W5" s="5"/>
      <c r="X5" s="5"/>
      <c r="Y5" s="5"/>
      <c r="Z5" s="6"/>
      <c r="AA5" s="6"/>
      <c r="AB5" s="6"/>
      <c r="AC5" s="6"/>
      <c r="AD5" s="6"/>
      <c r="AE5" s="6"/>
    </row>
    <row r="6" spans="1:31" ht="14.5" customHeight="1" x14ac:dyDescent="0.35">
      <c r="A6" s="6"/>
      <c r="C6" s="5"/>
      <c r="D6" s="5"/>
      <c r="E6" s="5"/>
      <c r="F6" s="5"/>
      <c r="G6" s="5"/>
      <c r="H6" s="5"/>
      <c r="I6" s="5"/>
      <c r="J6" s="5"/>
      <c r="K6" s="5"/>
      <c r="L6" s="5"/>
      <c r="M6" s="5"/>
      <c r="N6" s="5"/>
      <c r="O6" s="5"/>
      <c r="P6" s="5"/>
      <c r="Q6" s="5"/>
      <c r="R6" s="5"/>
      <c r="S6" s="5"/>
      <c r="T6" s="5"/>
      <c r="U6" s="5"/>
      <c r="V6" s="5"/>
      <c r="W6" s="5"/>
      <c r="X6" s="5"/>
      <c r="Y6" s="5"/>
      <c r="Z6" s="6"/>
      <c r="AA6" s="6"/>
      <c r="AB6" s="6"/>
      <c r="AC6" s="6"/>
      <c r="AD6" s="6"/>
      <c r="AE6" s="6"/>
    </row>
    <row r="7" spans="1:31" x14ac:dyDescent="0.35">
      <c r="A7" s="6"/>
      <c r="C7" s="5"/>
      <c r="D7" s="5"/>
      <c r="E7" s="5"/>
      <c r="F7" s="5"/>
      <c r="G7" s="5"/>
      <c r="H7" s="5"/>
      <c r="I7" s="5"/>
      <c r="J7" s="5"/>
      <c r="K7" s="5"/>
      <c r="L7" s="5"/>
      <c r="M7" s="5"/>
      <c r="N7" s="5"/>
      <c r="O7" s="5"/>
      <c r="P7" s="5"/>
      <c r="Q7" s="5"/>
      <c r="R7" s="5"/>
      <c r="S7" s="5"/>
      <c r="T7" s="5"/>
      <c r="U7" s="5"/>
      <c r="V7" s="5"/>
      <c r="W7" s="5"/>
      <c r="X7" s="5"/>
      <c r="Y7" s="5"/>
      <c r="Z7" s="6"/>
      <c r="AA7" s="6"/>
      <c r="AB7" s="6"/>
      <c r="AC7" s="6"/>
      <c r="AD7" s="6"/>
      <c r="AE7" s="6"/>
    </row>
    <row r="8" spans="1:31" ht="14.5" customHeight="1" x14ac:dyDescent="0.35">
      <c r="A8" s="6"/>
      <c r="C8" s="5"/>
      <c r="D8" s="5"/>
      <c r="E8" s="5"/>
      <c r="F8" s="5"/>
      <c r="G8" s="5"/>
      <c r="H8" s="5"/>
      <c r="I8" s="5"/>
      <c r="J8" s="5"/>
      <c r="K8" s="5"/>
      <c r="L8" s="5"/>
      <c r="M8" s="5"/>
      <c r="N8" s="5"/>
      <c r="O8" s="5"/>
      <c r="P8" s="5"/>
      <c r="Q8" s="5"/>
      <c r="R8" s="5"/>
      <c r="S8" s="5"/>
      <c r="T8" s="5"/>
      <c r="U8" s="5"/>
      <c r="V8" s="5"/>
      <c r="W8" s="5"/>
      <c r="X8" s="5"/>
      <c r="Y8" s="5"/>
      <c r="Z8" s="6"/>
      <c r="AA8" s="6"/>
      <c r="AB8" s="6"/>
      <c r="AC8" s="6"/>
      <c r="AD8" s="6"/>
      <c r="AE8" s="6"/>
    </row>
    <row r="9" spans="1:31" x14ac:dyDescent="0.35">
      <c r="A9" s="6"/>
      <c r="C9" s="5"/>
      <c r="D9" s="5"/>
      <c r="E9" s="5"/>
      <c r="F9" s="5"/>
      <c r="G9" s="5"/>
      <c r="H9" s="5"/>
      <c r="I9" s="5"/>
      <c r="J9" s="5"/>
      <c r="K9" s="5"/>
      <c r="L9" s="5"/>
      <c r="M9" s="5"/>
      <c r="N9" s="5"/>
      <c r="O9" s="5"/>
      <c r="P9" s="5"/>
      <c r="Q9" s="5"/>
      <c r="R9" s="5"/>
      <c r="S9" s="5"/>
      <c r="T9" s="5"/>
      <c r="U9" s="5"/>
      <c r="V9" s="5"/>
      <c r="W9" s="5"/>
      <c r="X9" s="5"/>
      <c r="Y9" s="5"/>
      <c r="Z9" s="6"/>
      <c r="AA9" s="6"/>
      <c r="AB9" s="6"/>
      <c r="AC9" s="6"/>
      <c r="AD9" s="6"/>
      <c r="AE9" s="6"/>
    </row>
    <row r="10" spans="1:31" ht="14.5" customHeight="1" x14ac:dyDescent="0.35">
      <c r="A10" s="6"/>
      <c r="C10" s="5"/>
      <c r="D10" s="5"/>
      <c r="E10" s="5"/>
      <c r="F10" s="5"/>
      <c r="G10" s="5"/>
      <c r="H10" s="5"/>
      <c r="I10" s="5"/>
      <c r="J10" s="5"/>
      <c r="K10" s="5"/>
      <c r="L10" s="5"/>
      <c r="M10" s="5"/>
      <c r="N10" s="5"/>
      <c r="O10" s="5"/>
      <c r="P10" s="5"/>
      <c r="Q10" s="5"/>
      <c r="R10" s="5"/>
      <c r="S10" s="5"/>
      <c r="T10" s="5"/>
      <c r="U10" s="5"/>
      <c r="V10" s="5"/>
      <c r="W10" s="5"/>
      <c r="X10" s="5"/>
      <c r="Y10" s="5"/>
      <c r="Z10" s="6"/>
      <c r="AA10" s="6"/>
      <c r="AB10" s="6"/>
      <c r="AC10" s="6"/>
      <c r="AD10" s="6"/>
      <c r="AE10" s="6"/>
    </row>
    <row r="11" spans="1:31" x14ac:dyDescent="0.35">
      <c r="A11" s="6"/>
      <c r="C11" s="5"/>
      <c r="D11" s="5"/>
      <c r="E11" s="5"/>
      <c r="F11" s="5"/>
      <c r="G11" s="5"/>
      <c r="H11" s="5"/>
      <c r="I11" s="5"/>
      <c r="J11" s="5"/>
      <c r="K11" s="5"/>
      <c r="L11" s="5"/>
      <c r="M11" s="5"/>
      <c r="N11" s="5"/>
      <c r="O11" s="5"/>
      <c r="P11" s="5"/>
      <c r="Q11" s="5"/>
      <c r="R11" s="5"/>
      <c r="S11" s="5"/>
      <c r="T11" s="5"/>
      <c r="U11" s="5"/>
      <c r="V11" s="5"/>
      <c r="W11" s="5"/>
      <c r="X11" s="5"/>
      <c r="Y11" s="5"/>
      <c r="Z11" s="6"/>
      <c r="AA11" s="6"/>
      <c r="AB11" s="6"/>
      <c r="AC11" s="6"/>
      <c r="AD11" s="6"/>
      <c r="AE11" s="6"/>
    </row>
    <row r="12" spans="1:31" x14ac:dyDescent="0.35">
      <c r="A12" s="6"/>
      <c r="C12" s="5"/>
      <c r="D12" s="5"/>
      <c r="E12" s="5"/>
      <c r="F12" s="5"/>
      <c r="G12" s="5"/>
      <c r="H12" s="5"/>
      <c r="I12" s="5"/>
      <c r="J12" s="5"/>
      <c r="K12" s="5"/>
      <c r="L12" s="5"/>
      <c r="M12" s="5"/>
      <c r="N12" s="5"/>
      <c r="O12" s="5"/>
      <c r="P12" s="5"/>
      <c r="Q12" s="5"/>
      <c r="R12" s="5"/>
      <c r="S12" s="5"/>
      <c r="T12" s="5"/>
      <c r="U12" s="5"/>
      <c r="V12" s="5"/>
      <c r="W12" s="5"/>
      <c r="X12" s="5"/>
      <c r="Y12" s="5"/>
      <c r="Z12" s="6"/>
      <c r="AA12" s="6"/>
      <c r="AB12" s="6"/>
      <c r="AC12" s="6"/>
      <c r="AD12" s="6"/>
      <c r="AE12" s="6"/>
    </row>
    <row r="13" spans="1:31" x14ac:dyDescent="0.35">
      <c r="A13" s="6"/>
      <c r="C13" s="5"/>
      <c r="D13" s="5"/>
      <c r="E13" s="5"/>
      <c r="F13" s="5"/>
      <c r="G13" s="5"/>
      <c r="H13" s="5"/>
      <c r="I13" s="5"/>
      <c r="J13" s="5"/>
      <c r="K13" s="5"/>
      <c r="L13" s="5"/>
      <c r="M13" s="5"/>
      <c r="N13" s="5"/>
      <c r="O13" s="5"/>
      <c r="P13" s="5"/>
      <c r="Q13" s="5"/>
      <c r="R13" s="5"/>
      <c r="S13" s="5"/>
      <c r="T13" s="5"/>
      <c r="U13" s="5"/>
      <c r="V13" s="5"/>
      <c r="W13" s="5"/>
      <c r="X13" s="5"/>
      <c r="Y13" s="5"/>
      <c r="Z13" s="6"/>
      <c r="AA13" s="6"/>
      <c r="AB13" s="6"/>
      <c r="AC13" s="6"/>
      <c r="AD13" s="6"/>
      <c r="AE13" s="6"/>
    </row>
    <row r="14" spans="1:31" x14ac:dyDescent="0.35">
      <c r="A14" s="6"/>
      <c r="C14" s="5"/>
      <c r="D14" s="5"/>
      <c r="E14" s="5"/>
      <c r="F14" s="5"/>
      <c r="G14" s="5"/>
      <c r="H14" s="5"/>
      <c r="I14" s="5"/>
      <c r="J14" s="5"/>
      <c r="K14" s="5"/>
      <c r="L14" s="5"/>
      <c r="M14" s="5"/>
      <c r="N14" s="5"/>
      <c r="O14" s="5"/>
      <c r="P14" s="5"/>
      <c r="Q14" s="5"/>
      <c r="R14" s="5"/>
      <c r="S14" s="5"/>
      <c r="T14" s="5"/>
      <c r="U14" s="5"/>
      <c r="V14" s="5"/>
      <c r="W14" s="5"/>
      <c r="X14" s="5"/>
      <c r="Y14" s="5"/>
      <c r="Z14" s="6"/>
      <c r="AA14" s="6"/>
      <c r="AB14" s="6"/>
      <c r="AC14" s="6"/>
      <c r="AD14" s="6"/>
      <c r="AE14" s="6"/>
    </row>
    <row r="15" spans="1:31" x14ac:dyDescent="0.35">
      <c r="A15" s="6"/>
      <c r="C15" s="5"/>
      <c r="D15" s="5"/>
      <c r="E15" s="5"/>
      <c r="F15" s="5"/>
      <c r="G15" s="5"/>
      <c r="H15" s="5"/>
      <c r="I15" s="5"/>
      <c r="J15" s="5"/>
      <c r="K15" s="5"/>
      <c r="L15" s="5"/>
      <c r="M15" s="5"/>
      <c r="N15" s="5"/>
      <c r="O15" s="5"/>
      <c r="P15" s="5"/>
      <c r="Q15" s="5"/>
      <c r="R15" s="5"/>
      <c r="S15" s="5"/>
      <c r="T15" s="5"/>
      <c r="U15" s="5"/>
      <c r="V15" s="5"/>
      <c r="W15" s="5"/>
      <c r="X15" s="5"/>
      <c r="Y15" s="5"/>
      <c r="Z15" s="6"/>
      <c r="AA15" s="6"/>
      <c r="AB15" s="6"/>
      <c r="AC15" s="6"/>
      <c r="AD15" s="6"/>
      <c r="AE15" s="6"/>
    </row>
    <row r="16" spans="1:31" x14ac:dyDescent="0.35">
      <c r="A16" s="6"/>
      <c r="C16" s="5"/>
      <c r="D16" s="5"/>
      <c r="E16" s="5"/>
      <c r="F16" s="5"/>
      <c r="G16" s="5"/>
      <c r="H16" s="5"/>
      <c r="I16" s="5"/>
      <c r="J16" s="5"/>
      <c r="K16" s="5"/>
      <c r="L16" s="5"/>
      <c r="M16" s="5"/>
      <c r="N16" s="5"/>
      <c r="O16" s="5"/>
      <c r="P16" s="5"/>
      <c r="Q16" s="5"/>
      <c r="R16" s="5"/>
      <c r="S16" s="5"/>
      <c r="T16" s="5"/>
      <c r="U16" s="5"/>
      <c r="V16" s="5"/>
      <c r="W16" s="5"/>
      <c r="X16" s="5"/>
      <c r="Y16" s="5"/>
      <c r="Z16" s="6"/>
      <c r="AA16" s="6"/>
      <c r="AB16" s="6"/>
      <c r="AC16" s="6"/>
      <c r="AD16" s="6"/>
      <c r="AE16" s="6"/>
    </row>
    <row r="17" spans="1:31" x14ac:dyDescent="0.35">
      <c r="A17" s="6"/>
      <c r="C17" s="5"/>
      <c r="D17" s="5"/>
      <c r="E17" s="5"/>
      <c r="F17" s="5"/>
      <c r="G17" s="5"/>
      <c r="H17" s="5"/>
      <c r="I17" s="5"/>
      <c r="J17" s="5"/>
      <c r="K17" s="5"/>
      <c r="L17" s="5"/>
      <c r="M17" s="5"/>
      <c r="N17" s="5"/>
      <c r="O17" s="5"/>
      <c r="P17" s="5"/>
      <c r="Q17" s="5"/>
      <c r="R17" s="5"/>
      <c r="S17" s="5"/>
      <c r="T17" s="5"/>
      <c r="U17" s="5"/>
      <c r="V17" s="5"/>
      <c r="W17" s="5"/>
      <c r="X17" s="5"/>
      <c r="Y17" s="5"/>
      <c r="Z17" s="6"/>
      <c r="AA17" s="6"/>
      <c r="AB17" s="6"/>
      <c r="AC17" s="6"/>
      <c r="AD17" s="6"/>
      <c r="AE17" s="6"/>
    </row>
    <row r="18" spans="1:31" x14ac:dyDescent="0.35">
      <c r="A18" s="6"/>
      <c r="C18" s="5"/>
      <c r="D18" s="5"/>
      <c r="E18" s="5"/>
      <c r="F18" s="5"/>
      <c r="G18" s="5"/>
      <c r="H18" s="5"/>
      <c r="I18" s="5"/>
      <c r="J18" s="5"/>
      <c r="K18" s="5"/>
      <c r="L18" s="5"/>
      <c r="M18" s="5"/>
      <c r="N18" s="5"/>
      <c r="O18" s="5"/>
      <c r="P18" s="5"/>
      <c r="Q18" s="5"/>
      <c r="R18" s="5"/>
      <c r="S18" s="5"/>
      <c r="T18" s="5"/>
      <c r="U18" s="5"/>
      <c r="V18" s="5"/>
      <c r="W18" s="5"/>
      <c r="X18" s="5"/>
      <c r="Y18" s="5"/>
      <c r="Z18" s="6"/>
      <c r="AA18" s="6"/>
      <c r="AB18" s="6"/>
      <c r="AC18" s="6"/>
      <c r="AD18" s="6"/>
      <c r="AE18" s="6"/>
    </row>
    <row r="19" spans="1:31" x14ac:dyDescent="0.35">
      <c r="A19" s="6"/>
      <c r="C19" s="5"/>
      <c r="D19" s="5"/>
      <c r="E19" s="5"/>
      <c r="F19" s="5"/>
      <c r="G19" s="5"/>
      <c r="H19" s="5"/>
      <c r="I19" s="5"/>
      <c r="J19" s="5"/>
      <c r="K19" s="5"/>
      <c r="L19" s="5"/>
      <c r="M19" s="5"/>
      <c r="N19" s="5"/>
      <c r="O19" s="5"/>
      <c r="P19" s="5"/>
      <c r="Q19" s="5"/>
      <c r="R19" s="5"/>
      <c r="S19" s="5"/>
      <c r="T19" s="5"/>
      <c r="U19" s="5"/>
      <c r="V19" s="5"/>
      <c r="W19" s="5"/>
      <c r="X19" s="5"/>
      <c r="Y19" s="5"/>
      <c r="Z19" s="6"/>
      <c r="AA19" s="6"/>
      <c r="AB19" s="6"/>
      <c r="AC19" s="6"/>
      <c r="AD19" s="6"/>
      <c r="AE19" s="6"/>
    </row>
    <row r="20" spans="1:31" x14ac:dyDescent="0.35">
      <c r="A20" s="6"/>
      <c r="C20" s="5"/>
      <c r="D20" s="5"/>
      <c r="E20" s="5"/>
      <c r="F20" s="5"/>
      <c r="G20" s="5"/>
      <c r="H20" s="5"/>
      <c r="I20" s="5"/>
      <c r="J20" s="5"/>
      <c r="K20" s="5"/>
      <c r="L20" s="5"/>
      <c r="M20" s="5"/>
      <c r="N20" s="5"/>
      <c r="O20" s="5"/>
      <c r="P20" s="5"/>
      <c r="Q20" s="5"/>
      <c r="R20" s="5"/>
      <c r="S20" s="5"/>
      <c r="T20" s="5"/>
      <c r="U20" s="5"/>
      <c r="V20" s="5"/>
      <c r="W20" s="5"/>
      <c r="X20" s="5"/>
      <c r="Y20" s="5"/>
      <c r="Z20" s="6"/>
      <c r="AA20" s="6"/>
      <c r="AB20" s="6"/>
      <c r="AC20" s="6"/>
      <c r="AD20" s="6"/>
      <c r="AE20" s="6"/>
    </row>
    <row r="21" spans="1:31" x14ac:dyDescent="0.35">
      <c r="A21" s="6"/>
      <c r="C21" s="5"/>
      <c r="D21" s="5"/>
      <c r="E21" s="5"/>
      <c r="F21" s="5"/>
      <c r="G21" s="5"/>
      <c r="H21" s="5"/>
      <c r="I21" s="5"/>
      <c r="J21" s="5"/>
      <c r="K21" s="5"/>
      <c r="L21" s="5"/>
      <c r="M21" s="5"/>
      <c r="N21" s="5"/>
      <c r="O21" s="5"/>
      <c r="P21" s="5"/>
      <c r="Q21" s="5"/>
      <c r="R21" s="5"/>
      <c r="S21" s="5"/>
      <c r="T21" s="5"/>
      <c r="U21" s="5"/>
      <c r="V21" s="5"/>
      <c r="W21" s="5"/>
      <c r="X21" s="5"/>
      <c r="Y21" s="5"/>
      <c r="Z21" s="6"/>
      <c r="AA21" s="6"/>
      <c r="AB21" s="6"/>
      <c r="AC21" s="6"/>
      <c r="AD21" s="6"/>
      <c r="AE21" s="6"/>
    </row>
    <row r="22" spans="1:31" x14ac:dyDescent="0.35">
      <c r="A22" s="6"/>
      <c r="C22" s="5"/>
      <c r="D22" s="5"/>
      <c r="E22" s="5"/>
      <c r="F22" s="5"/>
      <c r="G22" s="5"/>
      <c r="H22" s="5"/>
      <c r="I22" s="5"/>
      <c r="J22" s="5"/>
      <c r="K22" s="5"/>
      <c r="L22" s="5"/>
      <c r="M22" s="5"/>
      <c r="N22" s="5"/>
      <c r="O22" s="5"/>
      <c r="P22" s="5"/>
      <c r="Q22" s="5"/>
      <c r="R22" s="5"/>
      <c r="S22" s="5"/>
      <c r="T22" s="5"/>
      <c r="U22" s="5"/>
      <c r="V22" s="5"/>
      <c r="W22" s="5"/>
      <c r="X22" s="5"/>
      <c r="Y22" s="5"/>
      <c r="Z22" s="6"/>
      <c r="AA22" s="6"/>
      <c r="AB22" s="6"/>
      <c r="AC22" s="6"/>
      <c r="AD22" s="6"/>
      <c r="AE22" s="6"/>
    </row>
    <row r="23" spans="1:31" x14ac:dyDescent="0.35">
      <c r="A23" s="6"/>
      <c r="C23" s="5"/>
      <c r="D23" s="5"/>
      <c r="E23" s="5"/>
      <c r="F23" s="5"/>
      <c r="G23" s="5"/>
      <c r="H23" s="5"/>
      <c r="I23" s="5"/>
      <c r="J23" s="5"/>
      <c r="K23" s="5"/>
      <c r="L23" s="5"/>
      <c r="M23" s="5"/>
      <c r="N23" s="5"/>
      <c r="O23" s="5"/>
      <c r="P23" s="5"/>
      <c r="Q23" s="5"/>
      <c r="R23" s="5"/>
      <c r="S23" s="5"/>
      <c r="T23" s="5"/>
      <c r="U23" s="5"/>
      <c r="V23" s="5"/>
      <c r="W23" s="5"/>
      <c r="X23" s="5"/>
      <c r="Y23" s="5"/>
      <c r="Z23" s="6"/>
      <c r="AA23" s="6"/>
      <c r="AB23" s="6"/>
      <c r="AC23" s="6"/>
      <c r="AD23" s="6"/>
      <c r="AE23" s="6"/>
    </row>
    <row r="24" spans="1:31" x14ac:dyDescent="0.35">
      <c r="A24" s="6"/>
      <c r="C24" s="5"/>
      <c r="D24" s="5"/>
      <c r="E24" s="5"/>
      <c r="F24" s="5"/>
      <c r="G24" s="5"/>
      <c r="H24" s="5"/>
      <c r="I24" s="5"/>
      <c r="J24" s="5"/>
      <c r="K24" s="5"/>
      <c r="L24" s="5"/>
      <c r="M24" s="5"/>
      <c r="N24" s="5"/>
      <c r="O24" s="5"/>
      <c r="P24" s="5"/>
      <c r="Q24" s="5"/>
      <c r="R24" s="5"/>
      <c r="S24" s="5"/>
      <c r="T24" s="5"/>
      <c r="U24" s="5"/>
      <c r="V24" s="5"/>
      <c r="W24" s="5"/>
      <c r="X24" s="5"/>
      <c r="Y24" s="5"/>
      <c r="Z24" s="6"/>
      <c r="AA24" s="6"/>
      <c r="AB24" s="6"/>
      <c r="AC24" s="6"/>
      <c r="AD24" s="6"/>
      <c r="AE24" s="6"/>
    </row>
    <row r="25" spans="1:31" x14ac:dyDescent="0.35">
      <c r="A25" s="6"/>
      <c r="C25" s="5"/>
      <c r="D25" s="5"/>
      <c r="E25" s="5"/>
      <c r="F25" s="5"/>
      <c r="G25" s="5"/>
      <c r="H25" s="5"/>
      <c r="I25" s="5"/>
      <c r="J25" s="5"/>
      <c r="K25" s="5"/>
      <c r="L25" s="5"/>
      <c r="M25" s="5"/>
      <c r="N25" s="5"/>
      <c r="O25" s="5"/>
      <c r="P25" s="5"/>
      <c r="Q25" s="5"/>
      <c r="R25" s="5"/>
      <c r="S25" s="5"/>
      <c r="T25" s="5"/>
      <c r="U25" s="5"/>
      <c r="V25" s="5"/>
      <c r="W25" s="5"/>
      <c r="X25" s="5"/>
      <c r="Y25" s="5"/>
      <c r="Z25" s="6"/>
      <c r="AA25" s="6"/>
      <c r="AB25" s="6"/>
      <c r="AC25" s="6"/>
      <c r="AD25" s="6"/>
      <c r="AE25" s="6"/>
    </row>
    <row r="26" spans="1:31" x14ac:dyDescent="0.35">
      <c r="A26" s="6"/>
      <c r="C26" s="5"/>
      <c r="D26" s="5"/>
      <c r="E26" s="5"/>
      <c r="F26" s="5"/>
      <c r="G26" s="5"/>
      <c r="H26" s="5"/>
      <c r="I26" s="5"/>
      <c r="J26" s="5"/>
      <c r="K26" s="5"/>
      <c r="L26" s="5"/>
      <c r="M26" s="5"/>
      <c r="N26" s="5"/>
      <c r="O26" s="5"/>
      <c r="P26" s="5"/>
      <c r="Q26" s="5"/>
      <c r="R26" s="5"/>
      <c r="S26" s="5"/>
      <c r="T26" s="5"/>
      <c r="U26" s="5"/>
      <c r="V26" s="5"/>
      <c r="W26" s="5"/>
      <c r="X26" s="5"/>
      <c r="Y26" s="5"/>
      <c r="Z26" s="6"/>
      <c r="AA26" s="6"/>
      <c r="AB26" s="6"/>
      <c r="AC26" s="6"/>
      <c r="AD26" s="6"/>
      <c r="AE26" s="6"/>
    </row>
    <row r="27" spans="1:31" x14ac:dyDescent="0.35">
      <c r="A27" s="6"/>
      <c r="C27" s="5"/>
      <c r="D27" s="5"/>
      <c r="E27" s="5"/>
      <c r="F27" s="5"/>
      <c r="G27" s="5"/>
      <c r="H27" s="5"/>
      <c r="I27" s="5"/>
      <c r="J27" s="5"/>
      <c r="K27" s="5"/>
      <c r="L27" s="5"/>
      <c r="M27" s="5"/>
      <c r="N27" s="5"/>
      <c r="O27" s="5"/>
      <c r="P27" s="5"/>
      <c r="Q27" s="5"/>
      <c r="R27" s="5"/>
      <c r="S27" s="5"/>
      <c r="T27" s="5"/>
      <c r="U27" s="5"/>
      <c r="V27" s="5"/>
      <c r="W27" s="5"/>
      <c r="X27" s="5"/>
      <c r="Y27" s="5"/>
      <c r="Z27" s="6"/>
      <c r="AA27" s="6"/>
      <c r="AB27" s="6"/>
      <c r="AC27" s="6"/>
      <c r="AD27" s="6"/>
      <c r="AE27" s="6"/>
    </row>
    <row r="28" spans="1:31" x14ac:dyDescent="0.35">
      <c r="A28" s="6"/>
      <c r="C28" s="7"/>
      <c r="D28" s="7"/>
      <c r="E28" s="7"/>
      <c r="F28" s="7"/>
      <c r="G28" s="7"/>
      <c r="H28" s="7"/>
      <c r="I28" s="7"/>
      <c r="J28" s="7"/>
      <c r="K28" s="7"/>
      <c r="L28" s="7"/>
      <c r="M28" s="7"/>
      <c r="N28" s="7"/>
      <c r="O28" s="7"/>
      <c r="P28" s="7"/>
      <c r="Q28" s="7"/>
      <c r="R28" s="7"/>
      <c r="S28" s="7"/>
      <c r="T28" s="7"/>
      <c r="U28" s="7"/>
      <c r="V28" s="7"/>
      <c r="W28" s="7"/>
      <c r="X28" s="7"/>
      <c r="Y28" s="7"/>
      <c r="Z28" s="6"/>
      <c r="AA28" s="6"/>
      <c r="AB28" s="6"/>
      <c r="AC28" s="6"/>
      <c r="AD28" s="6"/>
      <c r="AE28" s="6"/>
    </row>
    <row r="29" spans="1:31" x14ac:dyDescent="0.35">
      <c r="A29" s="6"/>
      <c r="C29" s="7"/>
      <c r="D29" s="7"/>
      <c r="E29" s="7"/>
      <c r="F29" s="7"/>
      <c r="G29" s="7"/>
      <c r="H29" s="7"/>
      <c r="I29" s="7"/>
      <c r="J29" s="7"/>
      <c r="K29" s="7"/>
      <c r="L29" s="7"/>
      <c r="M29" s="7"/>
      <c r="N29" s="7"/>
      <c r="O29" s="7"/>
      <c r="P29" s="7"/>
      <c r="Q29" s="7"/>
      <c r="R29" s="7"/>
      <c r="S29" s="7"/>
      <c r="T29" s="7"/>
      <c r="U29" s="7"/>
      <c r="V29" s="7"/>
      <c r="W29" s="7"/>
      <c r="X29" s="7"/>
      <c r="Y29" s="7"/>
      <c r="Z29" s="6"/>
      <c r="AA29" s="6"/>
      <c r="AB29" s="6"/>
      <c r="AC29" s="6"/>
      <c r="AD29" s="6"/>
      <c r="AE29" s="6"/>
    </row>
    <row r="30" spans="1:31" x14ac:dyDescent="0.35">
      <c r="A30" s="6"/>
      <c r="C30" s="7"/>
      <c r="D30" s="7"/>
      <c r="E30" s="7"/>
      <c r="F30" s="7"/>
      <c r="G30" s="7"/>
      <c r="H30" s="7"/>
      <c r="I30" s="7"/>
      <c r="J30" s="7"/>
      <c r="K30" s="7"/>
      <c r="L30" s="7"/>
      <c r="M30" s="7"/>
      <c r="N30" s="7"/>
      <c r="O30" s="7"/>
      <c r="P30" s="7"/>
      <c r="Q30" s="7"/>
      <c r="R30" s="7"/>
      <c r="S30" s="7"/>
      <c r="T30" s="7"/>
      <c r="U30" s="7"/>
      <c r="V30" s="7"/>
      <c r="W30" s="7"/>
      <c r="X30" s="7"/>
      <c r="Y30" s="7"/>
      <c r="Z30" s="6"/>
      <c r="AA30" s="6"/>
      <c r="AB30" s="6"/>
      <c r="AC30" s="6"/>
      <c r="AD30" s="6"/>
      <c r="AE30" s="6"/>
    </row>
    <row r="31" spans="1:31" x14ac:dyDescent="0.35">
      <c r="A31" s="6"/>
      <c r="C31" s="7"/>
      <c r="D31" s="7"/>
      <c r="E31" s="7"/>
      <c r="F31" s="7"/>
      <c r="G31" s="7"/>
      <c r="H31" s="7"/>
      <c r="I31" s="7"/>
      <c r="J31" s="7"/>
      <c r="K31" s="7"/>
      <c r="L31" s="7"/>
      <c r="M31" s="7"/>
      <c r="N31" s="7"/>
      <c r="O31" s="7"/>
      <c r="P31" s="7"/>
      <c r="Q31" s="7"/>
      <c r="R31" s="7"/>
      <c r="S31" s="7"/>
      <c r="T31" s="7"/>
      <c r="U31" s="7"/>
      <c r="V31" s="7"/>
      <c r="W31" s="7"/>
      <c r="X31" s="7"/>
      <c r="Y31" s="7"/>
      <c r="Z31" s="6"/>
      <c r="AA31" s="6"/>
      <c r="AB31" s="6"/>
      <c r="AC31" s="6"/>
      <c r="AD31" s="6"/>
      <c r="AE31" s="6"/>
    </row>
    <row r="32" spans="1:31" x14ac:dyDescent="0.35">
      <c r="A32" s="6"/>
      <c r="C32" s="7"/>
      <c r="D32" s="7"/>
      <c r="E32" s="7"/>
      <c r="F32" s="7"/>
      <c r="G32" s="7"/>
      <c r="H32" s="7"/>
      <c r="I32" s="7"/>
      <c r="J32" s="7"/>
      <c r="K32" s="7"/>
      <c r="L32" s="7"/>
      <c r="M32" s="7"/>
      <c r="N32" s="7"/>
      <c r="O32" s="7"/>
      <c r="P32" s="7"/>
      <c r="Q32" s="7"/>
      <c r="R32" s="7"/>
      <c r="S32" s="7"/>
      <c r="T32" s="7"/>
      <c r="U32" s="7"/>
      <c r="V32" s="7"/>
      <c r="W32" s="7"/>
      <c r="X32" s="7"/>
      <c r="Y32" s="7"/>
      <c r="Z32" s="6"/>
      <c r="AA32" s="6"/>
      <c r="AB32" s="6"/>
      <c r="AC32" s="6"/>
      <c r="AD32" s="6"/>
      <c r="AE32" s="6"/>
    </row>
    <row r="33" spans="1:31" x14ac:dyDescent="0.35">
      <c r="A33" s="6"/>
      <c r="C33" s="7"/>
      <c r="D33" s="7"/>
      <c r="E33" s="7"/>
      <c r="F33" s="7"/>
      <c r="G33" s="7"/>
      <c r="H33" s="7"/>
      <c r="I33" s="7"/>
      <c r="J33" s="7"/>
      <c r="K33" s="7"/>
      <c r="L33" s="7"/>
      <c r="M33" s="7"/>
      <c r="N33" s="7"/>
      <c r="O33" s="7"/>
      <c r="P33" s="7"/>
      <c r="Q33" s="7"/>
      <c r="R33" s="7"/>
      <c r="S33" s="7"/>
      <c r="T33" s="7"/>
      <c r="U33" s="7"/>
      <c r="V33" s="7"/>
      <c r="W33" s="7"/>
      <c r="X33" s="7"/>
      <c r="Y33" s="7"/>
      <c r="Z33" s="6"/>
      <c r="AA33" s="6"/>
      <c r="AB33" s="6"/>
      <c r="AC33" s="6"/>
      <c r="AD33" s="6"/>
      <c r="AE33" s="6"/>
    </row>
    <row r="34" spans="1:31" x14ac:dyDescent="0.35">
      <c r="A34" s="6"/>
      <c r="C34" s="7"/>
      <c r="D34" s="7"/>
      <c r="E34" s="7"/>
      <c r="F34" s="7"/>
      <c r="G34" s="7"/>
      <c r="H34" s="7"/>
      <c r="I34" s="7"/>
      <c r="J34" s="7"/>
      <c r="K34" s="7"/>
      <c r="L34" s="7"/>
      <c r="M34" s="7"/>
      <c r="N34" s="7"/>
      <c r="O34" s="7"/>
      <c r="P34" s="7"/>
      <c r="Q34" s="7"/>
      <c r="R34" s="7"/>
      <c r="S34" s="7"/>
      <c r="T34" s="7"/>
      <c r="U34" s="7"/>
      <c r="V34" s="7"/>
      <c r="W34" s="7"/>
      <c r="X34" s="7"/>
      <c r="Y34" s="7"/>
      <c r="Z34" s="6"/>
      <c r="AA34" s="6"/>
      <c r="AB34" s="6"/>
      <c r="AC34" s="6"/>
      <c r="AD34" s="6"/>
      <c r="AE34" s="6"/>
    </row>
    <row r="35" spans="1:31" x14ac:dyDescent="0.35">
      <c r="A35" s="6"/>
      <c r="C35" s="7"/>
      <c r="D35" s="7"/>
      <c r="E35" s="7"/>
      <c r="F35" s="7"/>
      <c r="G35" s="7"/>
      <c r="H35" s="7"/>
      <c r="I35" s="7"/>
      <c r="J35" s="7"/>
      <c r="K35" s="7"/>
      <c r="L35" s="7"/>
      <c r="M35" s="7"/>
      <c r="N35" s="7"/>
      <c r="O35" s="7"/>
      <c r="P35" s="7"/>
      <c r="Q35" s="7"/>
      <c r="R35" s="7"/>
      <c r="S35" s="7"/>
      <c r="T35" s="7"/>
      <c r="U35" s="7"/>
      <c r="V35" s="7"/>
      <c r="W35" s="7"/>
      <c r="X35" s="7"/>
      <c r="Y35" s="7"/>
      <c r="Z35" s="6"/>
      <c r="AA35" s="6"/>
      <c r="AB35" s="6"/>
      <c r="AC35" s="6"/>
      <c r="AD35" s="6"/>
      <c r="AE35" s="6"/>
    </row>
    <row r="36" spans="1:31" x14ac:dyDescent="0.35">
      <c r="A36" s="6"/>
      <c r="C36" s="7"/>
      <c r="D36" s="7"/>
      <c r="E36" s="7"/>
      <c r="F36" s="7"/>
      <c r="G36" s="7"/>
      <c r="H36" s="7"/>
      <c r="I36" s="7"/>
      <c r="J36" s="7"/>
      <c r="K36" s="7"/>
      <c r="L36" s="7"/>
      <c r="M36" s="7"/>
      <c r="N36" s="7"/>
      <c r="O36" s="7"/>
      <c r="P36" s="7"/>
      <c r="Q36" s="7"/>
      <c r="R36" s="7"/>
      <c r="S36" s="7"/>
      <c r="T36" s="7"/>
      <c r="U36" s="7"/>
      <c r="V36" s="7"/>
      <c r="W36" s="7"/>
      <c r="X36" s="7"/>
      <c r="Y36" s="7"/>
      <c r="Z36" s="6"/>
      <c r="AA36" s="6"/>
      <c r="AB36" s="6"/>
      <c r="AC36" s="6"/>
      <c r="AD36" s="6"/>
      <c r="AE36" s="6"/>
    </row>
    <row r="37" spans="1:31" x14ac:dyDescent="0.35">
      <c r="A37" s="6"/>
      <c r="C37" s="7"/>
      <c r="D37" s="7"/>
      <c r="E37" s="7"/>
      <c r="F37" s="7"/>
      <c r="G37" s="7"/>
      <c r="H37" s="7"/>
      <c r="I37" s="7"/>
      <c r="J37" s="7"/>
      <c r="K37" s="7"/>
      <c r="L37" s="7"/>
      <c r="M37" s="7"/>
      <c r="N37" s="7"/>
      <c r="O37" s="7"/>
      <c r="P37" s="7"/>
      <c r="Q37" s="7"/>
      <c r="R37" s="7"/>
      <c r="S37" s="7"/>
      <c r="T37" s="7"/>
      <c r="U37" s="7"/>
      <c r="V37" s="7"/>
      <c r="W37" s="7"/>
      <c r="X37" s="7"/>
      <c r="Y37" s="7"/>
      <c r="Z37" s="6"/>
      <c r="AA37" s="6"/>
      <c r="AB37" s="6"/>
      <c r="AC37" s="6"/>
      <c r="AD37" s="6"/>
      <c r="AE37" s="6"/>
    </row>
    <row r="38" spans="1:31" x14ac:dyDescent="0.35">
      <c r="A38" s="6"/>
      <c r="C38" s="7"/>
      <c r="D38" s="7"/>
      <c r="E38" s="7"/>
      <c r="F38" s="7"/>
      <c r="G38" s="7"/>
      <c r="H38" s="7"/>
      <c r="I38" s="7"/>
      <c r="J38" s="7"/>
      <c r="K38" s="7"/>
      <c r="L38" s="7"/>
      <c r="M38" s="7"/>
      <c r="N38" s="7"/>
      <c r="O38" s="7"/>
      <c r="P38" s="7"/>
      <c r="Q38" s="7"/>
      <c r="R38" s="7"/>
      <c r="S38" s="7"/>
      <c r="T38" s="7"/>
      <c r="U38" s="7"/>
      <c r="V38" s="7"/>
      <c r="W38" s="7"/>
      <c r="X38" s="7"/>
      <c r="Y38" s="7"/>
      <c r="Z38" s="6"/>
      <c r="AA38" s="6"/>
      <c r="AB38" s="6"/>
      <c r="AC38" s="6"/>
      <c r="AD38" s="6"/>
      <c r="AE38" s="6"/>
    </row>
    <row r="39" spans="1:31" x14ac:dyDescent="0.35">
      <c r="A39" s="6"/>
      <c r="C39" s="7"/>
      <c r="D39" s="7"/>
      <c r="E39" s="7"/>
      <c r="F39" s="7"/>
      <c r="G39" s="7"/>
      <c r="H39" s="7"/>
      <c r="I39" s="7"/>
      <c r="J39" s="7"/>
      <c r="K39" s="7"/>
      <c r="L39" s="7"/>
      <c r="M39" s="7"/>
      <c r="N39" s="7"/>
      <c r="O39" s="7"/>
      <c r="P39" s="7"/>
      <c r="Q39" s="7"/>
      <c r="R39" s="7"/>
      <c r="S39" s="7"/>
      <c r="T39" s="7"/>
      <c r="U39" s="7"/>
      <c r="V39" s="7"/>
      <c r="W39" s="7"/>
      <c r="X39" s="7"/>
      <c r="Y39" s="7"/>
      <c r="Z39" s="6"/>
      <c r="AA39" s="6"/>
      <c r="AB39" s="6"/>
      <c r="AC39" s="6"/>
      <c r="AD39" s="6"/>
      <c r="AE39" s="6"/>
    </row>
    <row r="40" spans="1:31" x14ac:dyDescent="0.35">
      <c r="A40" s="6"/>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35">
      <c r="A41" s="6"/>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35">
      <c r="A42" s="6"/>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sheetData>
  <mergeCells count="1">
    <mergeCell ref="E3: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Order Table</vt:lpstr>
      <vt:lpstr>Product_table</vt:lpstr>
      <vt:lpstr>Customer</vt:lpstr>
      <vt:lpstr>project</vt:lpstr>
      <vt:lpstr>Sheet2</vt:lpstr>
      <vt:lpstr>Dashbord</vt:lpstr>
      <vt:lpstr>SUM_OF_SALSE</vt:lpstr>
      <vt:lpstr>sum_of_the_salse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Snehal Kharade</dc:creator>
  <cp:lastModifiedBy>hitesh patil</cp:lastModifiedBy>
  <dcterms:created xsi:type="dcterms:W3CDTF">2015-06-05T18:17:20Z</dcterms:created>
  <dcterms:modified xsi:type="dcterms:W3CDTF">2025-12-16T09:29:18Z</dcterms:modified>
</cp:coreProperties>
</file>